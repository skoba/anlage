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koba\Downloads\"/>
    </mc:Choice>
  </mc:AlternateContent>
  <xr:revisionPtr revIDLastSave="0" documentId="13_ncr:1_{08B2D451-AE73-4270-85F1-27F10678444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概要" sheetId="1" r:id="rId1"/>
    <sheet name="三面表" sheetId="2" r:id="rId2"/>
    <sheet name="Step2プレビュー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5" i="1" l="1"/>
  <c r="B34" i="1"/>
  <c r="B33" i="1"/>
  <c r="B32" i="1"/>
  <c r="B31" i="1"/>
</calcChain>
</file>

<file path=xl/sharedStrings.xml><?xml version="1.0" encoding="utf-8"?>
<sst xmlns="http://schemas.openxmlformats.org/spreadsheetml/2006/main" count="402" uniqueCount="278">
  <si>
    <r>
      <rPr>
        <b/>
        <sz val="13"/>
        <rFont val="Noto Sans CJK SC"/>
        <family val="2"/>
      </rPr>
      <t xml:space="preserve">診療情報提供書テンプレート </t>
    </r>
    <r>
      <rPr>
        <b/>
        <sz val="13"/>
        <rFont val="Arial"/>
        <family val="2"/>
      </rPr>
      <t xml:space="preserve">v2(jp_referral)— </t>
    </r>
    <r>
      <rPr>
        <b/>
        <sz val="13"/>
        <rFont val="Noto Sans CJK SC"/>
        <family val="2"/>
      </rPr>
      <t xml:space="preserve">三面インベントリ </t>
    </r>
    <r>
      <rPr>
        <b/>
        <sz val="13"/>
        <rFont val="Arial"/>
        <family val="2"/>
      </rPr>
      <t>v1(</t>
    </r>
    <r>
      <rPr>
        <b/>
        <sz val="13"/>
        <rFont val="Noto Sans CJK SC"/>
        <family val="2"/>
      </rPr>
      <t>統括反映版</t>
    </r>
    <r>
      <rPr>
        <b/>
        <sz val="13"/>
        <rFont val="Arial"/>
        <family val="2"/>
      </rPr>
      <t>)</t>
    </r>
  </si>
  <si>
    <r>
      <rPr>
        <b/>
        <sz val="10"/>
        <rFont val="Noto Sans CJK SC"/>
        <family val="2"/>
      </rPr>
      <t>作成</t>
    </r>
    <r>
      <rPr>
        <b/>
        <sz val="10"/>
        <rFont val="Arial"/>
        <family val="2"/>
      </rPr>
      <t xml:space="preserve">: 2026-09-04 / v0(Shinji </t>
    </r>
    <r>
      <rPr>
        <b/>
        <sz val="10"/>
        <rFont val="Noto Sans CJK SC"/>
        <family val="2"/>
      </rPr>
      <t>チェック済み</t>
    </r>
    <r>
      <rPr>
        <b/>
        <sz val="10"/>
        <rFont val="Arial"/>
        <family val="2"/>
      </rPr>
      <t>)</t>
    </r>
    <r>
      <rPr>
        <b/>
        <sz val="10"/>
        <rFont val="Noto Sans CJK SC"/>
        <family val="2"/>
      </rPr>
      <t xml:space="preserve">に </t>
    </r>
    <r>
      <rPr>
        <b/>
        <sz val="10"/>
        <rFont val="Arial"/>
        <family val="2"/>
      </rPr>
      <t>G</t>
    </r>
    <r>
      <rPr>
        <b/>
        <sz val="10"/>
        <rFont val="Noto Sans CJK SC"/>
        <family val="2"/>
      </rPr>
      <t xml:space="preserve">列 </t>
    </r>
    <r>
      <rPr>
        <b/>
        <sz val="10"/>
        <rFont val="Arial"/>
        <family val="2"/>
      </rPr>
      <t xml:space="preserve">IG </t>
    </r>
    <r>
      <rPr>
        <b/>
        <sz val="10"/>
        <rFont val="Noto Sans CJK SC"/>
        <family val="2"/>
      </rPr>
      <t>実測値・チャット裁定を統合。</t>
    </r>
    <r>
      <rPr>
        <b/>
        <sz val="10"/>
        <rFont val="Arial"/>
        <family val="2"/>
      </rPr>
      <t xml:space="preserve">J/K </t>
    </r>
    <r>
      <rPr>
        <b/>
        <sz val="10"/>
        <rFont val="Noto Sans CJK SC"/>
        <family val="2"/>
      </rPr>
      <t>列の原文は保持、追記は【統括反映】で区別</t>
    </r>
  </si>
  <si>
    <t>列の出所と確度</t>
  </si>
  <si>
    <r>
      <rPr>
        <b/>
        <sz val="10"/>
        <rFont val="Arial"/>
        <family val="2"/>
      </rPr>
      <t>D</t>
    </r>
    <r>
      <rPr>
        <b/>
        <sz val="10"/>
        <rFont val="Noto Sans CJK SC"/>
        <family val="2"/>
      </rPr>
      <t>列 様式</t>
    </r>
    <r>
      <rPr>
        <b/>
        <sz val="10"/>
        <rFont val="Arial"/>
        <family val="2"/>
      </rPr>
      <t>11</t>
    </r>
  </si>
  <si>
    <r>
      <rPr>
        <sz val="10"/>
        <rFont val="Noto Sans CJK SC"/>
        <family val="2"/>
      </rPr>
      <t>療担則別紙様式</t>
    </r>
    <r>
      <rPr>
        <sz val="10"/>
        <rFont val="Arial"/>
        <family val="2"/>
      </rPr>
      <t>11(</t>
    </r>
    <r>
      <rPr>
        <sz val="10"/>
        <rFont val="Noto Sans CJK SC"/>
        <family val="2"/>
      </rPr>
      <t>一般知識ドラフト。原文照合推奨</t>
    </r>
    <r>
      <rPr>
        <sz val="10"/>
        <rFont val="Arial"/>
        <family val="2"/>
      </rPr>
      <t>)</t>
    </r>
  </si>
  <si>
    <r>
      <rPr>
        <b/>
        <sz val="10"/>
        <rFont val="Arial"/>
        <family val="2"/>
      </rPr>
      <t>E</t>
    </r>
    <r>
      <rPr>
        <b/>
        <sz val="10"/>
        <rFont val="Noto Sans CJK SC"/>
        <family val="2"/>
      </rPr>
      <t xml:space="preserve">列 </t>
    </r>
    <r>
      <rPr>
        <b/>
        <sz val="10"/>
        <rFont val="Arial"/>
        <family val="2"/>
      </rPr>
      <t>MML</t>
    </r>
    <r>
      <rPr>
        <b/>
        <sz val="10"/>
        <rFont val="Noto Sans CJK SC"/>
        <family val="2"/>
      </rPr>
      <t>紹介状</t>
    </r>
  </si>
  <si>
    <r>
      <rPr>
        <sz val="10"/>
        <rFont val="Noto Sans CJK SC"/>
        <family val="2"/>
      </rPr>
      <t>知識ドラフト</t>
    </r>
    <r>
      <rPr>
        <sz val="10"/>
        <rFont val="Arial"/>
        <family val="2"/>
      </rPr>
      <t xml:space="preserve">(Shinji </t>
    </r>
    <r>
      <rPr>
        <sz val="10"/>
        <rFont val="Noto Sans CJK SC"/>
        <family val="2"/>
      </rPr>
      <t>検証対象</t>
    </r>
    <r>
      <rPr>
        <sz val="10"/>
        <rFont val="Arial"/>
        <family val="2"/>
      </rPr>
      <t>)</t>
    </r>
  </si>
  <si>
    <r>
      <rPr>
        <b/>
        <sz val="10"/>
        <rFont val="Arial"/>
        <family val="2"/>
      </rPr>
      <t>F</t>
    </r>
    <r>
      <rPr>
        <b/>
        <sz val="10"/>
        <rFont val="Noto Sans CJK SC"/>
        <family val="2"/>
      </rPr>
      <t xml:space="preserve">列 </t>
    </r>
    <r>
      <rPr>
        <b/>
        <sz val="10"/>
        <rFont val="Arial"/>
        <family val="2"/>
      </rPr>
      <t>OPT</t>
    </r>
    <r>
      <rPr>
        <b/>
        <sz val="10"/>
        <rFont val="Noto Sans CJK SC"/>
        <family val="2"/>
      </rPr>
      <t>実在</t>
    </r>
  </si>
  <si>
    <r>
      <rPr>
        <sz val="10"/>
        <rFont val="Noto Sans CJK SC"/>
        <family val="2"/>
      </rPr>
      <t>実測</t>
    </r>
    <r>
      <rPr>
        <sz val="10"/>
        <rFont val="Arial"/>
        <family val="2"/>
      </rPr>
      <t xml:space="preserve">(2026-08-25 mml_referral.opt </t>
    </r>
    <r>
      <rPr>
        <sz val="10"/>
        <rFont val="Noto Sans CJK SC"/>
        <family val="2"/>
      </rPr>
      <t>棚卸し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診断ドロップ</t>
    </r>
    <r>
      <rPr>
        <sz val="10"/>
        <rFont val="Arial"/>
        <family val="2"/>
      </rPr>
      <t>136</t>
    </r>
    <r>
      <rPr>
        <sz val="10"/>
        <rFont val="Noto Sans CJK SC"/>
        <family val="2"/>
      </rPr>
      <t>カード</t>
    </r>
    <r>
      <rPr>
        <sz val="10"/>
        <rFont val="Arial"/>
        <family val="2"/>
      </rPr>
      <t>)</t>
    </r>
  </si>
  <si>
    <r>
      <rPr>
        <b/>
        <sz val="10"/>
        <rFont val="Arial"/>
        <family val="2"/>
      </rPr>
      <t>G</t>
    </r>
    <r>
      <rPr>
        <b/>
        <sz val="10"/>
        <rFont val="Noto Sans CJK SC"/>
        <family val="2"/>
      </rPr>
      <t xml:space="preserve">列 </t>
    </r>
    <r>
      <rPr>
        <b/>
        <sz val="10"/>
        <rFont val="Arial"/>
        <family val="2"/>
      </rPr>
      <t>JP-CLINS</t>
    </r>
  </si>
  <si>
    <r>
      <rPr>
        <sz val="10"/>
        <rFont val="Noto Sans CJK SC"/>
        <family val="2"/>
      </rPr>
      <t>実測</t>
    </r>
    <r>
      <rPr>
        <sz val="10"/>
        <rFont val="Arial"/>
        <family val="2"/>
      </rPr>
      <t xml:space="preserve">(JP-CLINS v1.13.0 referral-doc.html, 2026-08-31 </t>
    </r>
    <r>
      <rPr>
        <sz val="10"/>
        <rFont val="Noto Sans CJK SC"/>
        <family val="2"/>
      </rPr>
      <t>生成</t>
    </r>
    <r>
      <rPr>
        <sz val="10"/>
        <rFont val="Arial"/>
        <family val="2"/>
      </rPr>
      <t xml:space="preserve">)— </t>
    </r>
    <r>
      <rPr>
        <sz val="10"/>
        <rFont val="Noto Sans CJK SC"/>
        <family val="2"/>
      </rPr>
      <t>節コード付き</t>
    </r>
  </si>
  <si>
    <r>
      <rPr>
        <b/>
        <sz val="10"/>
        <rFont val="Arial"/>
        <family val="2"/>
      </rPr>
      <t>H</t>
    </r>
    <r>
      <rPr>
        <b/>
        <sz val="10"/>
        <rFont val="Noto Sans CJK SC"/>
        <family val="2"/>
      </rPr>
      <t>列 骨格契約案</t>
    </r>
  </si>
  <si>
    <r>
      <rPr>
        <sz val="10"/>
        <rFont val="Noto Sans CJK SC"/>
        <family val="2"/>
      </rPr>
      <t>記法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 xml:space="preserve">アーキタイプ </t>
    </r>
    <r>
      <rPr>
        <sz val="10"/>
        <rFont val="Arial"/>
        <family val="2"/>
      </rPr>
      <t xml:space="preserve">[(occurrences)] @ </t>
    </r>
    <r>
      <rPr>
        <sz val="10"/>
        <rFont val="Noto Sans CJK SC"/>
        <family val="2"/>
      </rPr>
      <t>充填先</t>
    </r>
    <r>
      <rPr>
        <sz val="10"/>
        <rFont val="Arial"/>
        <family val="2"/>
      </rPr>
      <t xml:space="preserve">[SLOT] / </t>
    </r>
    <r>
      <rPr>
        <sz val="10"/>
        <rFont val="Noto Sans CJK SC"/>
        <family val="2"/>
      </rPr>
      <t xml:space="preserve">要素は「アーキタイプ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要素名」。再利用部品は必ず役割文脈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スロット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まで記す</t>
    </r>
  </si>
  <si>
    <r>
      <rPr>
        <b/>
        <sz val="10"/>
        <rFont val="Noto Sans CJK SC"/>
        <family val="2"/>
      </rPr>
      <t>状態の凡例</t>
    </r>
    <r>
      <rPr>
        <b/>
        <sz val="10"/>
        <rFont val="Arial"/>
        <family val="2"/>
      </rPr>
      <t>(I</t>
    </r>
    <r>
      <rPr>
        <b/>
        <sz val="10"/>
        <rFont val="Noto Sans CJK SC"/>
        <family val="2"/>
      </rPr>
      <t>列</t>
    </r>
    <r>
      <rPr>
        <b/>
        <sz val="10"/>
        <rFont val="Arial"/>
        <family val="2"/>
      </rPr>
      <t>)</t>
    </r>
  </si>
  <si>
    <t>実在</t>
  </si>
  <si>
    <r>
      <rPr>
        <sz val="10"/>
        <rFont val="Noto Sans CJK SC"/>
        <family val="2"/>
      </rPr>
      <t>骨格に実在・確定</t>
    </r>
    <r>
      <rPr>
        <sz val="10"/>
        <rFont val="Arial"/>
        <family val="2"/>
      </rPr>
      <t xml:space="preserve">(mml_referral </t>
    </r>
    <r>
      <rPr>
        <sz val="10"/>
        <rFont val="Noto Sans CJK SC"/>
        <family val="2"/>
      </rPr>
      <t>由来またはアーキタイプ実在</t>
    </r>
    <r>
      <rPr>
        <sz val="10"/>
        <rFont val="Arial"/>
        <family val="2"/>
      </rPr>
      <t>)</t>
    </r>
  </si>
  <si>
    <t>追加要</t>
  </si>
  <si>
    <r>
      <rPr>
        <sz val="10"/>
        <rFont val="Arial"/>
        <family val="2"/>
      </rPr>
      <t xml:space="preserve">CKM </t>
    </r>
    <r>
      <rPr>
        <sz val="10"/>
        <rFont val="Noto Sans CJK SC"/>
        <family val="2"/>
      </rPr>
      <t>実在アーキタイプの新規導入が必要</t>
    </r>
    <r>
      <rPr>
        <sz val="10"/>
        <rFont val="Arial"/>
        <family val="2"/>
      </rPr>
      <t>(core)</t>
    </r>
  </si>
  <si>
    <t>拡張予約</t>
  </si>
  <si>
    <r>
      <rPr>
        <sz val="10"/>
        <rFont val="Noto Sans CJK SC"/>
        <family val="2"/>
      </rPr>
      <t>選定済み・要件出現時に導入・未実装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パスカードスキーマの </t>
    </r>
    <r>
      <rPr>
        <sz val="10"/>
        <rFont val="Arial"/>
        <family val="2"/>
      </rPr>
      <t xml:space="preserve">reserved </t>
    </r>
    <r>
      <rPr>
        <sz val="10"/>
        <rFont val="Noto Sans CJK SC"/>
        <family val="2"/>
      </rPr>
      <t>と同じ考え方</t>
    </r>
    <r>
      <rPr>
        <sz val="10"/>
        <rFont val="Arial"/>
        <family val="2"/>
      </rPr>
      <t>)</t>
    </r>
  </si>
  <si>
    <r>
      <rPr>
        <b/>
        <sz val="10"/>
        <rFont val="Arial"/>
        <family val="2"/>
      </rPr>
      <t>Step2</t>
    </r>
    <r>
      <rPr>
        <b/>
        <sz val="10"/>
        <rFont val="Noto Sans CJK SC"/>
        <family val="2"/>
      </rPr>
      <t>裁定</t>
    </r>
  </si>
  <si>
    <r>
      <rPr>
        <sz val="10"/>
        <rFont val="Noto Sans CJK SC"/>
        <family val="2"/>
      </rPr>
      <t>未裁定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承認時に決める</t>
    </r>
    <r>
      <rPr>
        <sz val="10"/>
        <rFont val="Arial"/>
        <family val="2"/>
      </rPr>
      <t>)</t>
    </r>
  </si>
  <si>
    <t>要確認</t>
  </si>
  <si>
    <t>対応関係そのものが未確定</t>
  </si>
  <si>
    <t>削除確定</t>
  </si>
  <si>
    <r>
      <rPr>
        <sz val="10"/>
        <rFont val="Arial"/>
        <family val="2"/>
      </rPr>
      <t xml:space="preserve">v2 </t>
    </r>
    <r>
      <rPr>
        <sz val="10"/>
        <rFont val="Noto Sans CJK SC"/>
        <family val="2"/>
      </rPr>
      <t>骨格に含めない</t>
    </r>
  </si>
  <si>
    <r>
      <rPr>
        <b/>
        <sz val="10"/>
        <rFont val="Noto Sans CJK SC"/>
        <family val="2"/>
      </rPr>
      <t>チェックの記入</t>
    </r>
    <r>
      <rPr>
        <b/>
        <sz val="10"/>
        <rFont val="Arial"/>
        <family val="2"/>
      </rPr>
      <t>(J</t>
    </r>
    <r>
      <rPr>
        <b/>
        <sz val="10"/>
        <rFont val="Noto Sans CJK SC"/>
        <family val="2"/>
      </rPr>
      <t>・</t>
    </r>
    <r>
      <rPr>
        <b/>
        <sz val="10"/>
        <rFont val="Arial"/>
        <family val="2"/>
      </rPr>
      <t>K</t>
    </r>
    <r>
      <rPr>
        <b/>
        <sz val="10"/>
        <rFont val="Noto Sans CJK SC"/>
        <family val="2"/>
      </rPr>
      <t>列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</si>
  <si>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J</t>
    </r>
    <r>
      <rPr>
        <b/>
        <sz val="10"/>
        <rFont val="Noto Sans CJK SC"/>
        <family val="2"/>
      </rPr>
      <t>列</t>
    </r>
  </si>
  <si>
    <r>
      <rPr>
        <sz val="10"/>
        <rFont val="Arial"/>
        <family val="2"/>
      </rPr>
      <t xml:space="preserve">OK / </t>
    </r>
    <r>
      <rPr>
        <sz val="10"/>
        <rFont val="Noto Sans CJK SC"/>
        <family val="2"/>
      </rPr>
      <t xml:space="preserve">修正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要議論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不要 のいずれか。【新設】行</t>
    </r>
    <r>
      <rPr>
        <sz val="10"/>
        <rFont val="Arial"/>
        <family val="2"/>
      </rPr>
      <t>(18b</t>
    </r>
    <r>
      <rPr>
        <sz val="10"/>
        <rFont val="Noto Sans CJK SC"/>
        <family val="2"/>
      </rPr>
      <t>〜</t>
    </r>
    <r>
      <rPr>
        <sz val="10"/>
        <rFont val="Arial"/>
        <family val="2"/>
      </rPr>
      <t>18e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24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25)</t>
    </r>
    <r>
      <rPr>
        <sz val="10"/>
        <rFont val="Noto Sans CJK SC"/>
        <family val="2"/>
      </rPr>
      <t>は未記入 — 要チェック</t>
    </r>
  </si>
  <si>
    <r>
      <rPr>
        <b/>
        <sz val="10"/>
        <rFont val="Arial"/>
        <family val="2"/>
      </rPr>
      <t>K</t>
    </r>
    <r>
      <rPr>
        <b/>
        <sz val="10"/>
        <rFont val="Noto Sans CJK SC"/>
        <family val="2"/>
      </rPr>
      <t>列</t>
    </r>
  </si>
  <si>
    <r>
      <rPr>
        <sz val="10"/>
        <rFont val="Noto Sans CJK SC"/>
        <family val="2"/>
      </rPr>
      <t xml:space="preserve">原文保持。【統括反映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】以降が統括の追記</t>
    </r>
  </si>
  <si>
    <r>
      <rPr>
        <b/>
        <sz val="10"/>
        <rFont val="Noto Sans CJK SC"/>
        <family val="2"/>
      </rPr>
      <t>節骨格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確定版・様式</t>
    </r>
    <r>
      <rPr>
        <b/>
        <sz val="10"/>
        <rFont val="Arial"/>
        <family val="2"/>
      </rPr>
      <t xml:space="preserve">11 </t>
    </r>
    <r>
      <rPr>
        <b/>
        <sz val="10"/>
        <rFont val="Noto Sans CJK SC"/>
        <family val="2"/>
      </rPr>
      <t>の欄が節として現れる</t>
    </r>
    <r>
      <rPr>
        <b/>
        <sz val="10"/>
        <rFont val="Arial"/>
        <family val="2"/>
      </rPr>
      <t>)</t>
    </r>
  </si>
  <si>
    <t>COMPOSITION.referral</t>
  </si>
  <si>
    <r>
      <rPr>
        <sz val="10"/>
        <rFont val="Arial"/>
        <family val="2"/>
      </rPr>
      <t>├ SECTION.referral_details: INSTRUCTION.request-referral(</t>
    </r>
    <r>
      <rPr>
        <sz val="10"/>
        <rFont val="Noto Sans CJK SC"/>
        <family val="2"/>
      </rPr>
      <t xml:space="preserve">紹介目的 </t>
    </r>
    <r>
      <rPr>
        <sz val="10"/>
        <rFont val="Arial"/>
        <family val="2"/>
      </rPr>
      <t>at0062/64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 xml:space="preserve">receiver: </t>
    </r>
    <r>
      <rPr>
        <sz val="10"/>
        <rFont val="Noto Sans CJK SC"/>
        <family val="2"/>
      </rPr>
      <t>紹介先・</t>
    </r>
    <r>
      <rPr>
        <sz val="10"/>
        <rFont val="Arial"/>
        <family val="2"/>
      </rPr>
      <t xml:space="preserve">requester: </t>
    </r>
    <r>
      <rPr>
        <sz val="10"/>
        <rFont val="Noto Sans CJK SC"/>
        <family val="2"/>
      </rPr>
      <t>紹介元</t>
    </r>
    <r>
      <rPr>
        <sz val="10"/>
        <rFont val="Arial"/>
        <family val="2"/>
      </rPr>
      <t>)+ Details: story(</t>
    </r>
    <r>
      <rPr>
        <sz val="10"/>
        <rFont val="Noto Sans CJK SC"/>
        <family val="2"/>
      </rPr>
      <t>症状経過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clinical_synopsis(</t>
    </r>
    <r>
      <rPr>
        <sz val="10"/>
        <rFont val="Noto Sans CJK SC"/>
        <family val="2"/>
      </rPr>
      <t>治療経過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laboratory_test_result(</t>
    </r>
    <r>
      <rPr>
        <sz val="10"/>
        <rFont val="Noto Sans CJK SC"/>
        <family val="2"/>
      </rPr>
      <t>検査結果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exam(</t>
    </r>
    <r>
      <rPr>
        <sz val="10"/>
        <rFont val="Noto Sans CJK SC"/>
        <family val="2"/>
      </rPr>
      <t>身体所見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任意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imaging_exam(</t>
    </r>
    <r>
      <rPr>
        <sz val="10"/>
        <rFont val="Noto Sans CJK SC"/>
        <family val="2"/>
      </rPr>
      <t>予約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</si>
  <si>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├ SECTION[</t>
    </r>
    <r>
      <rPr>
        <sz val="10"/>
        <rFont val="Noto Sans CJK SC"/>
        <family val="2"/>
      </rPr>
      <t>傷病名・主訴</t>
    </r>
    <r>
      <rPr>
        <sz val="10"/>
        <rFont val="Arial"/>
        <family val="2"/>
      </rPr>
      <t>]: problem_diagnosis(</t>
    </r>
    <r>
      <rPr>
        <sz val="10"/>
        <rFont val="Noto Sans CJK SC"/>
        <family val="2"/>
      </rPr>
      <t>傷病名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reason_for_encounter(</t>
    </r>
    <r>
      <rPr>
        <sz val="10"/>
        <rFont val="Noto Sans CJK SC"/>
        <family val="2"/>
      </rPr>
      <t>主訴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</si>
  <si>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├ SECTION[</t>
    </r>
    <r>
      <rPr>
        <sz val="10"/>
        <rFont val="Noto Sans CJK SC"/>
        <family val="2"/>
      </rPr>
      <t>既往歴・家族歴</t>
    </r>
    <r>
      <rPr>
        <sz val="10"/>
        <rFont val="Arial"/>
        <family val="2"/>
      </rPr>
      <t>](adhoc): story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problem_diagnosis+problem_qualifier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family_history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adverse_reaction_risk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infectious_disease_summary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social_summary(+</t>
    </r>
    <r>
      <rPr>
        <sz val="10"/>
        <rFont val="Noto Sans CJK SC"/>
        <family val="2"/>
      </rPr>
      <t>予約</t>
    </r>
    <r>
      <rPr>
        <sz val="10"/>
        <rFont val="Arial"/>
        <family val="2"/>
      </rPr>
      <t>4)</t>
    </r>
  </si>
  <si>
    <t>├ SECTION.medication_order_list ⊃ INSTRUCTION.medication_order</t>
  </si>
  <si>
    <r>
      <rPr>
        <sz val="10"/>
        <rFont val="Arial"/>
        <family val="2"/>
      </rPr>
      <t>└ SECTION[</t>
    </r>
    <r>
      <rPr>
        <sz val="10"/>
        <rFont val="Noto Sans CJK SC"/>
        <family val="2"/>
      </rPr>
      <t>備考</t>
    </r>
    <r>
      <rPr>
        <sz val="10"/>
        <rFont val="Arial"/>
        <family val="2"/>
      </rPr>
      <t>]: free_text</t>
    </r>
    <r>
      <rPr>
        <sz val="10"/>
        <rFont val="Noto Sans CJK SC"/>
        <family val="2"/>
      </rPr>
      <t xml:space="preserve">。患者情報は </t>
    </r>
    <r>
      <rPr>
        <sz val="10"/>
        <rFont val="Arial"/>
        <family val="2"/>
      </rPr>
      <t>other_context/patient SLOT</t>
    </r>
  </si>
  <si>
    <t>チェック進捗</t>
  </si>
  <si>
    <t>OK</t>
  </si>
  <si>
    <t>修正</t>
  </si>
  <si>
    <t>要議論</t>
  </si>
  <si>
    <t>不要</t>
  </si>
  <si>
    <t>未記入</t>
  </si>
  <si>
    <t>次工程</t>
  </si>
  <si>
    <r>
      <rPr>
        <sz val="10"/>
        <rFont val="Noto Sans CJK SC"/>
        <family val="2"/>
      </rPr>
      <t>【新設】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行のチェック → 残裁定</t>
    </r>
    <r>
      <rPr>
        <sz val="10"/>
        <rFont val="Arial"/>
        <family val="2"/>
      </rPr>
      <t>(Step2</t>
    </r>
    <r>
      <rPr>
        <sz val="10"/>
        <rFont val="Noto Sans CJK SC"/>
        <family val="2"/>
      </rPr>
      <t>プレビュー参照</t>
    </r>
    <r>
      <rPr>
        <sz val="10"/>
        <rFont val="Arial"/>
        <family val="2"/>
      </rPr>
      <t xml:space="preserve">)→ anlage </t>
    </r>
    <r>
      <rPr>
        <sz val="10"/>
        <rFont val="Noto Sans CJK SC"/>
        <family val="2"/>
      </rPr>
      <t xml:space="preserve">が </t>
    </r>
    <r>
      <rPr>
        <sz val="10"/>
        <rFont val="Arial"/>
        <family val="2"/>
      </rPr>
      <t>docs/design/referral-v2-inventory.md(</t>
    </r>
    <r>
      <rPr>
        <sz val="10"/>
        <rFont val="Noto Sans CJK SC"/>
        <family val="2"/>
      </rPr>
      <t>骨格契約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へ収載</t>
    </r>
  </si>
  <si>
    <t>No.</t>
  </si>
  <si>
    <t>区分</t>
  </si>
  <si>
    <t>臨床概念</t>
  </si>
  <si>
    <r>
      <rPr>
        <b/>
        <sz val="10"/>
        <color rgb="FFFFFFFF"/>
        <rFont val="Noto Sans CJK SC"/>
        <family val="2"/>
      </rPr>
      <t>様式</t>
    </r>
    <r>
      <rPr>
        <b/>
        <sz val="10"/>
        <color rgb="FFFFFFFF"/>
        <rFont val="Arial"/>
        <family val="2"/>
      </rPr>
      <t>11(</t>
    </r>
    <r>
      <rPr>
        <b/>
        <sz val="10"/>
        <color rgb="FFFFFFFF"/>
        <rFont val="Noto Sans CJK SC"/>
        <family val="2"/>
      </rPr>
      <t>療担則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</si>
  <si>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MML</t>
    </r>
    <r>
      <rPr>
        <b/>
        <sz val="10"/>
        <color rgb="FFFFFFFF"/>
        <rFont val="Noto Sans CJK SC"/>
        <family val="2"/>
      </rPr>
      <t>紹介状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要検証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</si>
  <si>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 xml:space="preserve">mml_referral OPT </t>
    </r>
    <r>
      <rPr>
        <b/>
        <sz val="10"/>
        <color rgb="FFFFFFFF"/>
        <rFont val="Noto Sans CJK SC"/>
        <family val="2"/>
      </rPr>
      <t>実在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実測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</si>
  <si>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 xml:space="preserve">JP-CLINS eReferral(v1.13.0 </t>
    </r>
    <r>
      <rPr>
        <b/>
        <sz val="10"/>
        <color rgb="FFFFFFFF"/>
        <rFont val="Noto Sans CJK SC"/>
        <family val="2"/>
      </rPr>
      <t>実測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</si>
  <si>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骨格契約案</t>
    </r>
    <r>
      <rPr>
        <b/>
        <sz val="10"/>
        <color rgb="FFFFFFFF"/>
        <rFont val="Arial"/>
        <family val="2"/>
      </rPr>
      <t>(openEHR)</t>
    </r>
  </si>
  <si>
    <t>状態</t>
  </si>
  <si>
    <t>チェック結果</t>
  </si>
  <si>
    <t>修正メモ・接続</t>
  </si>
  <si>
    <t>1</t>
  </si>
  <si>
    <t>封筒</t>
  </si>
  <si>
    <t>紹介先医療機関・診療科</t>
  </si>
  <si>
    <t>紹介先医療機関名</t>
  </si>
  <si>
    <t>紹介先施設</t>
  </si>
  <si>
    <r>
      <rPr>
        <sz val="10"/>
        <rFont val="Arial"/>
        <family val="2"/>
      </rPr>
      <t>CLUSTER.organisation-mml(</t>
    </r>
    <r>
      <rPr>
        <sz val="10"/>
        <rFont val="Noto Sans CJK SC"/>
        <family val="2"/>
      </rPr>
      <t>実在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</si>
  <si>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JP_Organization_eCS(</t>
    </r>
    <r>
      <rPr>
        <sz val="10"/>
        <rFont val="Noto Sans CJK SC"/>
        <family val="2"/>
      </rPr>
      <t>紹介先医療機関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紹介先診療科は別 </t>
    </r>
    <r>
      <rPr>
        <sz val="10"/>
        <rFont val="Arial"/>
        <family val="2"/>
      </rPr>
      <t>Organization)</t>
    </r>
  </si>
  <si>
    <t>CLUSTER.organisation (1..1) @ INSTRUCTION.request-referral protocol/receiver SLOT</t>
  </si>
  <si>
    <r>
      <rPr>
        <sz val="10"/>
        <rFont val="Noto Sans CJK SC"/>
        <family val="2"/>
      </rPr>
      <t>役割文脈裁定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 xml:space="preserve">紹介先は </t>
    </r>
    <r>
      <rPr>
        <sz val="10"/>
        <rFont val="Arial"/>
        <family val="2"/>
      </rPr>
      <t xml:space="preserve">receiver </t>
    </r>
    <r>
      <rPr>
        <sz val="10"/>
        <rFont val="Noto Sans CJK SC"/>
        <family val="2"/>
      </rPr>
      <t>スロット充填で表現</t>
    </r>
    <r>
      <rPr>
        <sz val="10"/>
        <rFont val="Arial"/>
        <family val="2"/>
      </rPr>
      <t xml:space="preserve">(protocol </t>
    </r>
    <r>
      <rPr>
        <sz val="10"/>
        <rFont val="Noto Sans CJK SC"/>
        <family val="2"/>
      </rPr>
      <t>側</t>
    </r>
    <r>
      <rPr>
        <sz val="10"/>
        <rFont val="Arial"/>
        <family val="2"/>
      </rPr>
      <t>=</t>
    </r>
    <r>
      <rPr>
        <sz val="10"/>
        <rFont val="Noto Sans CJK SC"/>
        <family val="2"/>
      </rPr>
      <t>依頼の運用情報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。</t>
    </r>
    <r>
      <rPr>
        <sz val="10"/>
        <rFont val="Arial"/>
        <family val="2"/>
      </rPr>
      <t xml:space="preserve">AQL </t>
    </r>
    <r>
      <rPr>
        <sz val="10"/>
        <rFont val="Noto Sans CJK SC"/>
        <family val="2"/>
      </rPr>
      <t>は本パスで紹介元と区別。</t>
    </r>
    <r>
      <rPr>
        <sz val="10"/>
        <rFont val="Arial"/>
        <family val="2"/>
      </rPr>
      <t xml:space="preserve">AD </t>
    </r>
    <r>
      <rPr>
        <sz val="10"/>
        <rFont val="Noto Sans CJK SC"/>
        <family val="2"/>
      </rPr>
      <t xml:space="preserve">組立時に実 </t>
    </r>
    <r>
      <rPr>
        <sz val="10"/>
        <rFont val="Arial"/>
        <family val="2"/>
      </rPr>
      <t xml:space="preserve">at-code </t>
    </r>
    <r>
      <rPr>
        <sz val="10"/>
        <rFont val="Noto Sans CJK SC"/>
        <family val="2"/>
      </rPr>
      <t xml:space="preserve">を正典値として追記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】兄弟クラスタ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医師と独立 </t>
    </r>
    <r>
      <rPr>
        <sz val="10"/>
        <rFont val="Arial"/>
        <family val="2"/>
      </rPr>
      <t>occurrence)</t>
    </r>
    <r>
      <rPr>
        <sz val="10"/>
        <rFont val="Noto Sans CJK SC"/>
        <family val="2"/>
      </rPr>
      <t xml:space="preserve">。診療科は </t>
    </r>
    <r>
      <rPr>
        <sz val="10"/>
        <rFont val="Arial"/>
        <family val="2"/>
      </rPr>
      <t xml:space="preserve">JP-CLINS </t>
    </r>
    <r>
      <rPr>
        <sz val="10"/>
        <rFont val="Noto Sans CJK SC"/>
        <family val="2"/>
      </rPr>
      <t xml:space="preserve">では別 </t>
    </r>
    <r>
      <rPr>
        <sz val="10"/>
        <rFont val="Arial"/>
        <family val="2"/>
      </rPr>
      <t xml:space="preserve">Organization — organisation </t>
    </r>
    <r>
      <rPr>
        <sz val="10"/>
        <rFont val="Noto Sans CJK SC"/>
        <family val="2"/>
      </rPr>
      <t xml:space="preserve">内の部門要素か </t>
    </r>
    <r>
      <rPr>
        <sz val="10"/>
        <rFont val="Arial"/>
        <family val="2"/>
      </rPr>
      <t xml:space="preserve">occurrence 2 </t>
    </r>
    <r>
      <rPr>
        <sz val="10"/>
        <rFont val="Noto Sans CJK SC"/>
        <family val="2"/>
      </rPr>
      <t xml:space="preserve">かを </t>
    </r>
    <r>
      <rPr>
        <sz val="10"/>
        <rFont val="Arial"/>
        <family val="2"/>
      </rPr>
      <t xml:space="preserve">AD </t>
    </r>
    <r>
      <rPr>
        <sz val="10"/>
        <rFont val="Noto Sans CJK SC"/>
        <family val="2"/>
      </rPr>
      <t>で確認</t>
    </r>
  </si>
  <si>
    <t>2</t>
  </si>
  <si>
    <t>紹介先担当医</t>
  </si>
  <si>
    <r>
      <rPr>
        <sz val="10"/>
        <rFont val="Noto Sans CJK SC"/>
        <family val="2"/>
      </rPr>
      <t>担当医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科・氏名</t>
    </r>
    <r>
      <rPr>
        <sz val="10"/>
        <rFont val="Arial"/>
        <family val="2"/>
      </rPr>
      <t>)</t>
    </r>
  </si>
  <si>
    <t>紹介先医師</t>
  </si>
  <si>
    <r>
      <rPr>
        <sz val="10"/>
        <rFont val="Arial"/>
        <family val="2"/>
      </rPr>
      <t>CLUSTER.individual_professional-mml(</t>
    </r>
    <r>
      <rPr>
        <sz val="10"/>
        <rFont val="Noto Sans CJK SC"/>
        <family val="2"/>
      </rPr>
      <t>実在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</si>
  <si>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JP_Practitioner_eCS(</t>
    </r>
    <r>
      <rPr>
        <sz val="10"/>
        <rFont val="Noto Sans CJK SC"/>
        <family val="2"/>
      </rPr>
      <t>紹介先医師</t>
    </r>
    <r>
      <rPr>
        <sz val="10"/>
        <rFont val="Arial"/>
        <family val="2"/>
      </rPr>
      <t>)</t>
    </r>
  </si>
  <si>
    <t>CLUSTER.individual_professional (0..1) @ INSTRUCTION.request-referral protocol/receiver SLOT</t>
  </si>
  <si>
    <r>
      <rPr>
        <sz val="10"/>
        <rFont val="Noto Sans CJK SC"/>
        <family val="2"/>
      </rPr>
      <t>役割文脈裁定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 xml:space="preserve">は </t>
    </r>
    <r>
      <rPr>
        <sz val="10"/>
        <rFont val="Arial"/>
        <family val="2"/>
      </rPr>
      <t xml:space="preserve">receiver </t>
    </r>
    <r>
      <rPr>
        <sz val="10"/>
        <rFont val="Noto Sans CJK SC"/>
        <family val="2"/>
      </rPr>
      <t>スロット充填で表現</t>
    </r>
    <r>
      <rPr>
        <sz val="10"/>
        <rFont val="Arial"/>
        <family val="2"/>
      </rPr>
      <t xml:space="preserve">(protocol </t>
    </r>
    <r>
      <rPr>
        <sz val="10"/>
        <rFont val="Noto Sans CJK SC"/>
        <family val="2"/>
      </rPr>
      <t>側</t>
    </r>
    <r>
      <rPr>
        <sz val="10"/>
        <rFont val="Arial"/>
        <family val="2"/>
      </rPr>
      <t>=</t>
    </r>
    <r>
      <rPr>
        <sz val="10"/>
        <rFont val="Noto Sans CJK SC"/>
        <family val="2"/>
      </rPr>
      <t>依頼の運用情報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。</t>
    </r>
    <r>
      <rPr>
        <sz val="10"/>
        <rFont val="Arial"/>
        <family val="2"/>
      </rPr>
      <t xml:space="preserve">AQL </t>
    </r>
    <r>
      <rPr>
        <sz val="10"/>
        <rFont val="Noto Sans CJK SC"/>
        <family val="2"/>
      </rPr>
      <t>は本パスで紹介元と区別。</t>
    </r>
    <r>
      <rPr>
        <sz val="10"/>
        <rFont val="Arial"/>
        <family val="2"/>
      </rPr>
      <t xml:space="preserve">AD </t>
    </r>
    <r>
      <rPr>
        <sz val="10"/>
        <rFont val="Noto Sans CJK SC"/>
        <family val="2"/>
      </rPr>
      <t xml:space="preserve">組立時に実 </t>
    </r>
    <r>
      <rPr>
        <sz val="10"/>
        <rFont val="Arial"/>
        <family val="2"/>
      </rPr>
      <t xml:space="preserve">at-code </t>
    </r>
    <r>
      <rPr>
        <sz val="10"/>
        <rFont val="Noto Sans CJK SC"/>
        <family val="2"/>
      </rPr>
      <t xml:space="preserve">を正典値として追記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】機関と兄弟・任意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機関のみ指定が多い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。所属は同一 </t>
    </r>
    <r>
      <rPr>
        <sz val="10"/>
        <rFont val="Arial"/>
        <family val="2"/>
      </rPr>
      <t xml:space="preserve">receiver </t>
    </r>
    <r>
      <rPr>
        <sz val="10"/>
        <rFont val="Noto Sans CJK SC"/>
        <family val="2"/>
      </rPr>
      <t>内の共起で暗黙。単一宛先前提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複数宛先は範囲外</t>
    </r>
    <r>
      <rPr>
        <sz val="10"/>
        <rFont val="Arial"/>
        <family val="2"/>
      </rPr>
      <t>)</t>
    </r>
  </si>
  <si>
    <t>3</t>
  </si>
  <si>
    <r>
      <rPr>
        <sz val="10"/>
        <rFont val="Noto Sans CJK SC"/>
        <family val="2"/>
      </rPr>
      <t>紹介元医療機関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所在地・電話</t>
    </r>
    <r>
      <rPr>
        <sz val="10"/>
        <rFont val="Arial"/>
        <family val="2"/>
      </rPr>
      <t>)</t>
    </r>
  </si>
  <si>
    <t>紹介元の所在地・名称・電話番号</t>
  </si>
  <si>
    <t>紹介元施設</t>
  </si>
  <si>
    <r>
      <rPr>
        <sz val="10"/>
        <rFont val="Arial"/>
        <family val="2"/>
      </rPr>
      <t>organisation-mml + address-japan + telecom_details-japan(</t>
    </r>
    <r>
      <rPr>
        <sz val="10"/>
        <rFont val="Noto Sans CJK SC"/>
        <family val="2"/>
      </rPr>
      <t>実在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</si>
  <si>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JP_Organization_eCS(</t>
    </r>
    <r>
      <rPr>
        <sz val="10"/>
        <rFont val="Noto Sans CJK SC"/>
        <family val="2"/>
      </rPr>
      <t>紹介元医療機関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紹介元診療科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文書作成機関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文書管理責任機関</t>
    </r>
    <r>
      <rPr>
        <sz val="10"/>
        <rFont val="Arial"/>
        <family val="2"/>
      </rPr>
      <t>)</t>
    </r>
  </si>
  <si>
    <t>CLUSTER.organisation @ INSTRUCTION.request-referral protocol/requester SLOT</t>
  </si>
  <si>
    <r>
      <rPr>
        <sz val="10"/>
        <rFont val="Noto Sans CJK SC"/>
        <family val="2"/>
      </rPr>
      <t>紹介元は</t>
    </r>
    <r>
      <rPr>
        <sz val="10"/>
        <rFont val="Arial"/>
        <family val="2"/>
      </rPr>
      <t>protocol/requesterSLOT</t>
    </r>
    <r>
      <rPr>
        <sz val="10"/>
        <rFont val="Noto Sans CJK SC"/>
        <family val="2"/>
      </rPr>
      <t xml:space="preserve">を利用する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】採用</t>
    </r>
    <r>
      <rPr>
        <sz val="10"/>
        <rFont val="Arial"/>
        <family val="2"/>
      </rPr>
      <t xml:space="preserve">(receiver </t>
    </r>
    <r>
      <rPr>
        <sz val="10"/>
        <rFont val="Noto Sans CJK SC"/>
        <family val="2"/>
      </rPr>
      <t>と対称、テンプレ外案は撤回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。</t>
    </r>
    <r>
      <rPr>
        <sz val="10"/>
        <rFont val="Arial"/>
        <family val="2"/>
      </rPr>
      <t xml:space="preserve">RM </t>
    </r>
    <r>
      <rPr>
        <sz val="10"/>
        <rFont val="Noto Sans CJK SC"/>
        <family val="2"/>
      </rPr>
      <t xml:space="preserve">の </t>
    </r>
    <r>
      <rPr>
        <sz val="10"/>
        <rFont val="Arial"/>
        <family val="2"/>
      </rPr>
      <t xml:space="preserve">composer/context </t>
    </r>
    <r>
      <rPr>
        <sz val="10"/>
        <rFont val="Noto Sans CJK SC"/>
        <family val="2"/>
      </rPr>
      <t>は文書来歴として併存 — 写像時に同一性を確認</t>
    </r>
  </si>
  <si>
    <t>4</t>
  </si>
  <si>
    <t>紹介元医師</t>
  </si>
  <si>
    <t>医師氏名</t>
  </si>
  <si>
    <r>
      <rPr>
        <sz val="10"/>
        <rFont val="Arial"/>
        <family val="2"/>
      </rPr>
      <t>individual_professional-mml(</t>
    </r>
    <r>
      <rPr>
        <sz val="10"/>
        <rFont val="Noto Sans CJK SC"/>
        <family val="2"/>
      </rPr>
      <t>実在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</si>
  <si>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JP_Practitioner_eCS(</t>
    </r>
    <r>
      <rPr>
        <sz val="10"/>
        <rFont val="Noto Sans CJK SC"/>
        <family val="2"/>
      </rPr>
      <t>紹介元医師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文書作成責任者</t>
    </r>
    <r>
      <rPr>
        <sz val="10"/>
        <rFont val="Arial"/>
        <family val="2"/>
      </rPr>
      <t>)</t>
    </r>
  </si>
  <si>
    <t>CLUSTER.individual_professional @ INSTRUCTION.request-referral protocol/requester SLOT</t>
  </si>
  <si>
    <r>
      <rPr>
        <sz val="10"/>
        <rFont val="Noto Sans CJK SC"/>
        <family val="2"/>
      </rPr>
      <t>紹介元は</t>
    </r>
    <r>
      <rPr>
        <sz val="10"/>
        <rFont val="Arial"/>
        <family val="2"/>
      </rPr>
      <t>protocol/requesterSLOT</t>
    </r>
    <r>
      <rPr>
        <sz val="10"/>
        <rFont val="Noto Sans CJK SC"/>
        <family val="2"/>
      </rPr>
      <t xml:space="preserve">を利用する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】採用</t>
    </r>
    <r>
      <rPr>
        <sz val="10"/>
        <rFont val="Arial"/>
        <family val="2"/>
      </rPr>
      <t xml:space="preserve">(No.3 </t>
    </r>
    <r>
      <rPr>
        <sz val="10"/>
        <rFont val="Noto Sans CJK SC"/>
        <family val="2"/>
      </rPr>
      <t>と同スロット</t>
    </r>
    <r>
      <rPr>
        <sz val="10"/>
        <rFont val="Arial"/>
        <family val="2"/>
      </rPr>
      <t>)</t>
    </r>
  </si>
  <si>
    <t>5</t>
  </si>
  <si>
    <r>
      <rPr>
        <sz val="10"/>
        <rFont val="Noto Sans CJK SC"/>
        <family val="2"/>
      </rPr>
      <t>患者基本情報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氏名・性別・生年月日・住所・職業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</si>
  <si>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患者欄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職業含む</t>
    </r>
    <r>
      <rPr>
        <sz val="10"/>
        <rFont val="Arial"/>
        <family val="2"/>
      </rPr>
      <t>)</t>
    </r>
  </si>
  <si>
    <t>患者情報</t>
  </si>
  <si>
    <r>
      <rPr>
        <sz val="10"/>
        <rFont val="Arial"/>
        <family val="2"/>
      </rPr>
      <t>individual_personal-mml + person_name-mml(</t>
    </r>
    <r>
      <rPr>
        <sz val="10"/>
        <rFont val="Noto Sans CJK SC"/>
        <family val="2"/>
      </rPr>
      <t>実在</t>
    </r>
    <r>
      <rPr>
        <sz val="10"/>
        <rFont val="Arial"/>
        <family val="2"/>
      </rPr>
      <t>)</t>
    </r>
  </si>
  <si>
    <t>JP_Patient_eCS</t>
  </si>
  <si>
    <t>CLUSTER.individual_personal @ COMPOSITION.referral other_context/patient SLOT</t>
  </si>
  <si>
    <r>
      <rPr>
        <sz val="10"/>
        <rFont val="Noto Sans CJK SC"/>
        <family val="2"/>
      </rPr>
      <t>「職業」は様式</t>
    </r>
    <r>
      <rPr>
        <sz val="10"/>
        <rFont val="Arial"/>
        <family val="2"/>
      </rPr>
      <t>11</t>
    </r>
    <r>
      <rPr>
        <sz val="10"/>
        <rFont val="Noto Sans CJK SC"/>
        <family val="2"/>
      </rPr>
      <t xml:space="preserve">固有 — 扱い要裁定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】採用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交換文書として患者情報を文書内に自己完結</t>
    </r>
    <r>
      <rPr>
        <sz val="10"/>
        <rFont val="Arial"/>
        <family val="2"/>
      </rPr>
      <t xml:space="preserve">(EHR demographics </t>
    </r>
    <r>
      <rPr>
        <sz val="10"/>
        <rFont val="Noto Sans CJK SC"/>
        <family val="2"/>
      </rPr>
      <t>依存案は撤回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。職業の要素有無は </t>
    </r>
    <r>
      <rPr>
        <sz val="10"/>
        <rFont val="Arial"/>
        <family val="2"/>
      </rPr>
      <t xml:space="preserve">AD </t>
    </r>
    <r>
      <rPr>
        <sz val="10"/>
        <rFont val="Noto Sans CJK SC"/>
        <family val="2"/>
      </rPr>
      <t>確認</t>
    </r>
  </si>
  <si>
    <t>6</t>
  </si>
  <si>
    <t>紹介日・文書日付</t>
  </si>
  <si>
    <t>年月日</t>
  </si>
  <si>
    <t>作成日</t>
  </si>
  <si>
    <t>(RM context)</t>
  </si>
  <si>
    <t>Composition.date</t>
  </si>
  <si>
    <t>COMPOSITION context/start_time</t>
  </si>
  <si>
    <r>
      <rPr>
        <sz val="10"/>
        <rFont val="Arial"/>
        <family val="2"/>
      </rPr>
      <t>RM</t>
    </r>
    <r>
      <rPr>
        <sz val="10"/>
        <rFont val="Noto Sans CJK SC"/>
        <family val="2"/>
      </rPr>
      <t>標準で充足</t>
    </r>
  </si>
  <si>
    <t>7</t>
  </si>
  <si>
    <t>臨床</t>
  </si>
  <si>
    <t>傷病名</t>
  </si>
  <si>
    <t>病名</t>
  </si>
  <si>
    <r>
      <rPr>
        <sz val="10"/>
        <rFont val="Arial"/>
        <family val="2"/>
      </rPr>
      <t>EVALUATION.problem_diagnosis(</t>
    </r>
    <r>
      <rPr>
        <sz val="10"/>
        <rFont val="Noto Sans CJK SC"/>
        <family val="2"/>
      </rPr>
      <t>実在・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カード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</si>
  <si>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JP_Condition_eCS @ </t>
    </r>
    <r>
      <rPr>
        <sz val="10"/>
        <rFont val="Noto Sans CJK SC"/>
        <family val="2"/>
      </rPr>
      <t>セクション</t>
    </r>
    <r>
      <rPr>
        <sz val="10"/>
        <rFont val="Arial"/>
        <family val="2"/>
      </rPr>
      <t>340</t>
    </r>
    <r>
      <rPr>
        <sz val="10"/>
        <rFont val="Noto Sans CJK SC"/>
        <family val="2"/>
      </rPr>
      <t>「傷病名・主訴」</t>
    </r>
  </si>
  <si>
    <r>
      <rPr>
        <sz val="10"/>
        <rFont val="Arial"/>
        <family val="2"/>
      </rPr>
      <t>EVALUATION.problem_diagnosis @ SECTION[</t>
    </r>
    <r>
      <rPr>
        <sz val="10"/>
        <rFont val="Noto Sans CJK SC"/>
        <family val="2"/>
      </rPr>
      <t>傷病名・主訴</t>
    </r>
    <r>
      <rPr>
        <sz val="10"/>
        <rFont val="Arial"/>
        <family val="2"/>
      </rPr>
      <t>]</t>
    </r>
  </si>
  <si>
    <r>
      <rPr>
        <sz val="10"/>
        <rFont val="Arial"/>
        <family val="2"/>
      </rPr>
      <t xml:space="preserve">ICD-11 referenceSetUri </t>
    </r>
    <r>
      <rPr>
        <sz val="10"/>
        <rFont val="Noto Sans CJK SC"/>
        <family val="2"/>
      </rPr>
      <t>パッチ対象。</t>
    </r>
    <r>
      <rPr>
        <sz val="10"/>
        <rFont val="Arial"/>
        <family val="2"/>
      </rPr>
      <t>q05/q18</t>
    </r>
    <r>
      <rPr>
        <sz val="10"/>
        <rFont val="Noto Sans CJK SC"/>
        <family val="2"/>
      </rPr>
      <t xml:space="preserve">知見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】節住所付与</t>
    </r>
  </si>
  <si>
    <t>8</t>
  </si>
  <si>
    <t>紹介目的</t>
  </si>
  <si>
    <r>
      <rPr>
        <sz val="10"/>
        <rFont val="Arial"/>
        <family val="2"/>
      </rPr>
      <t>EVALUATION.reason_for_encounter(</t>
    </r>
    <r>
      <rPr>
        <sz val="10"/>
        <rFont val="Noto Sans CJK SC"/>
        <family val="2"/>
      </rPr>
      <t>実在・旧写像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</si>
  <si>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JP_Encounter_eCS.reasonCode @ </t>
    </r>
    <r>
      <rPr>
        <sz val="10"/>
        <rFont val="Noto Sans CJK SC"/>
        <family val="2"/>
      </rPr>
      <t>セクション</t>
    </r>
    <r>
      <rPr>
        <sz val="10"/>
        <rFont val="Arial"/>
        <family val="2"/>
      </rPr>
      <t>950</t>
    </r>
    <r>
      <rPr>
        <sz val="10"/>
        <rFont val="Noto Sans CJK SC"/>
        <family val="2"/>
      </rPr>
      <t>「紹介目的」</t>
    </r>
  </si>
  <si>
    <r>
      <rPr>
        <sz val="10"/>
        <rFont val="Arial"/>
        <family val="2"/>
      </rPr>
      <t xml:space="preserve">INSTRUCTION.request-referral / description[at0009]/items[at0064] </t>
    </r>
    <r>
      <rPr>
        <sz val="10"/>
        <rFont val="Noto Sans CJK SC"/>
        <family val="2"/>
      </rPr>
      <t>記述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主</t>
    </r>
    <r>
      <rPr>
        <sz val="10"/>
        <rFont val="Arial"/>
        <family val="2"/>
      </rPr>
      <t xml:space="preserve">)+ items[at0062] </t>
    </r>
    <r>
      <rPr>
        <sz val="10"/>
        <rFont val="Noto Sans CJK SC"/>
        <family val="2"/>
      </rPr>
      <t>コード化理由</t>
    </r>
    <r>
      <rPr>
        <sz val="10"/>
        <rFont val="Arial"/>
        <family val="2"/>
      </rPr>
      <t>(0..1</t>
    </r>
    <r>
      <rPr>
        <sz val="10"/>
        <rFont val="Noto Sans CJK SC"/>
        <family val="2"/>
      </rPr>
      <t>・束縛サイト候補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</si>
  <si>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実測</t>
    </r>
    <r>
      <rPr>
        <sz val="10"/>
        <rFont val="Arial"/>
        <family val="2"/>
      </rPr>
      <t xml:space="preserve">: at0009 </t>
    </r>
    <r>
      <rPr>
        <sz val="10"/>
        <rFont val="Noto Sans CJK SC"/>
        <family val="2"/>
      </rPr>
      <t xml:space="preserve">は </t>
    </r>
    <r>
      <rPr>
        <sz val="10"/>
        <rFont val="Arial"/>
        <family val="2"/>
      </rPr>
      <t xml:space="preserve">Tree </t>
    </r>
    <r>
      <rPr>
        <sz val="10"/>
        <rFont val="Noto Sans CJK SC"/>
        <family val="2"/>
      </rPr>
      <t xml:space="preserve">コンテナ、要素は </t>
    </r>
    <r>
      <rPr>
        <sz val="10"/>
        <rFont val="Arial"/>
        <family val="2"/>
      </rPr>
      <t>at0062/at0064</t>
    </r>
    <r>
      <rPr>
        <sz val="10"/>
        <rFont val="Noto Sans CJK SC"/>
        <family val="2"/>
      </rPr>
      <t>。</t>
    </r>
    <r>
      <rPr>
        <sz val="10"/>
        <rFont val="Arial"/>
        <family val="2"/>
      </rPr>
      <t xml:space="preserve">archetype </t>
    </r>
    <r>
      <rPr>
        <sz val="10"/>
        <rFont val="Noto Sans CJK SC"/>
        <family val="2"/>
      </rPr>
      <t>コメント『コード化が望ましい』→ 紹介目的値集合の束縛候補。</t>
    </r>
    <r>
      <rPr>
        <sz val="10"/>
        <rFont val="Arial"/>
        <family val="2"/>
      </rPr>
      <t>FHIR: ServiceRequest.reasonCode/note</t>
    </r>
    <r>
      <rPr>
        <sz val="10"/>
        <rFont val="Noto Sans CJK SC"/>
        <family val="2"/>
      </rPr>
      <t>。</t>
    </r>
    <r>
      <rPr>
        <sz val="10"/>
        <rFont val="Arial"/>
        <family val="2"/>
      </rPr>
      <t xml:space="preserve">mml </t>
    </r>
    <r>
      <rPr>
        <sz val="10"/>
        <rFont val="Noto Sans CJK SC"/>
        <family val="2"/>
      </rPr>
      <t>旧写像</t>
    </r>
    <r>
      <rPr>
        <sz val="10"/>
        <rFont val="Arial"/>
        <family val="2"/>
      </rPr>
      <t>(reason_for_encounter)</t>
    </r>
    <r>
      <rPr>
        <sz val="10"/>
        <rFont val="Noto Sans CJK SC"/>
        <family val="2"/>
      </rPr>
      <t>からの訂正第</t>
    </r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号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</t>
    </r>
    <r>
      <rPr>
        <sz val="10"/>
        <rFont val="Arial"/>
        <family val="2"/>
      </rPr>
      <t xml:space="preserve">JP-CLINS </t>
    </r>
    <r>
      <rPr>
        <sz val="10"/>
        <rFont val="Noto Sans CJK SC"/>
        <family val="2"/>
      </rPr>
      <t xml:space="preserve">の受け皿は </t>
    </r>
    <r>
      <rPr>
        <sz val="10"/>
        <rFont val="Arial"/>
        <family val="2"/>
      </rPr>
      <t xml:space="preserve">Encounter.reasonCode(eReferral </t>
    </r>
    <r>
      <rPr>
        <sz val="10"/>
        <rFont val="Noto Sans CJK SC"/>
        <family val="2"/>
      </rPr>
      <t xml:space="preserve">に </t>
    </r>
    <r>
      <rPr>
        <sz val="10"/>
        <rFont val="Arial"/>
        <family val="2"/>
      </rPr>
      <t xml:space="preserve">ServiceRequest </t>
    </r>
    <r>
      <rPr>
        <sz val="10"/>
        <rFont val="Noto Sans CJK SC"/>
        <family val="2"/>
      </rPr>
      <t>なし</t>
    </r>
    <r>
      <rPr>
        <sz val="10"/>
        <rFont val="Arial"/>
        <family val="2"/>
      </rPr>
      <t xml:space="preserve">)— </t>
    </r>
    <r>
      <rPr>
        <sz val="10"/>
        <rFont val="Noto Sans CJK SC"/>
        <family val="2"/>
      </rPr>
      <t xml:space="preserve">写像表は </t>
    </r>
    <r>
      <rPr>
        <sz val="10"/>
        <rFont val="Arial"/>
        <family val="2"/>
      </rPr>
      <t xml:space="preserve">IG </t>
    </r>
    <r>
      <rPr>
        <sz val="10"/>
        <rFont val="Noto Sans CJK SC"/>
        <family val="2"/>
      </rPr>
      <t>別に持つ</t>
    </r>
  </si>
  <si>
    <t>9</t>
  </si>
  <si>
    <t>主訴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</si>
  <si>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症状経過に包含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</si>
  <si>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主訴 </t>
    </r>
    <r>
      <rPr>
        <sz val="10"/>
        <rFont val="Arial"/>
        <family val="2"/>
      </rPr>
      <t>?</t>
    </r>
  </si>
  <si>
    <r>
      <rPr>
        <sz val="10"/>
        <rFont val="Noto Sans CJK SC"/>
        <family val="2"/>
      </rPr>
      <t>直接なし</t>
    </r>
    <r>
      <rPr>
        <sz val="10"/>
        <rFont val="Arial"/>
        <family val="2"/>
      </rPr>
      <t xml:space="preserve">(story </t>
    </r>
    <r>
      <rPr>
        <sz val="10"/>
        <rFont val="Noto Sans CJK SC"/>
        <family val="2"/>
      </rPr>
      <t>包含</t>
    </r>
    <r>
      <rPr>
        <sz val="10"/>
        <rFont val="Arial"/>
        <family val="2"/>
      </rPr>
      <t>?)</t>
    </r>
  </si>
  <si>
    <r>
      <rPr>
        <sz val="10"/>
        <rFont val="Arial"/>
        <family val="2"/>
      </rPr>
      <t>JP_Condition_eCS @ 340(</t>
    </r>
    <r>
      <rPr>
        <sz val="10"/>
        <rFont val="Noto Sans CJK SC"/>
        <family val="2"/>
      </rPr>
      <t>主訴側。</t>
    </r>
    <r>
      <rPr>
        <sz val="10"/>
        <rFont val="Arial"/>
        <family val="2"/>
      </rPr>
      <t xml:space="preserve">FHIR </t>
    </r>
    <r>
      <rPr>
        <sz val="10"/>
        <rFont val="Noto Sans CJK SC"/>
        <family val="2"/>
      </rPr>
      <t xml:space="preserve">は </t>
    </r>
    <r>
      <rPr>
        <sz val="10"/>
        <rFont val="Arial"/>
        <family val="2"/>
      </rPr>
      <t xml:space="preserve">S/A </t>
    </r>
    <r>
      <rPr>
        <sz val="10"/>
        <rFont val="Noto Sans CJK SC"/>
        <family val="2"/>
      </rPr>
      <t>を区別しない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</si>
  <si>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EVALUATION.reason_for_encounter / Presenting problem @ SECTION[</t>
    </r>
    <r>
      <rPr>
        <sz val="10"/>
        <rFont val="Noto Sans CJK SC"/>
        <family val="2"/>
      </rPr>
      <t>傷病名・主訴</t>
    </r>
    <r>
      <rPr>
        <sz val="10"/>
        <rFont val="Arial"/>
        <family val="2"/>
      </rPr>
      <t>]</t>
    </r>
  </si>
  <si>
    <r>
      <rPr>
        <sz val="10"/>
        <rFont val="Noto Sans CJK SC"/>
        <family val="2"/>
      </rPr>
      <t>担当医が『主』と判断した訴え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判断を含む</t>
    </r>
    <r>
      <rPr>
        <sz val="10"/>
        <rFont val="Arial"/>
        <family val="2"/>
      </rPr>
      <t>)→EVALUATION</t>
    </r>
    <r>
      <rPr>
        <sz val="10"/>
        <rFont val="Noto Sans CJK SC"/>
        <family val="2"/>
      </rPr>
      <t>。横串一貫性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文書横断で同一アーキタイプ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を優先。</t>
    </r>
    <r>
      <rPr>
        <sz val="10"/>
        <rFont val="Arial"/>
        <family val="2"/>
      </rPr>
      <t xml:space="preserve">JP-CLINS 340 </t>
    </r>
    <r>
      <rPr>
        <sz val="10"/>
        <rFont val="Noto Sans CJK SC"/>
        <family val="2"/>
      </rPr>
      <t xml:space="preserve">の </t>
    </r>
    <r>
      <rPr>
        <sz val="10"/>
        <rFont val="Arial"/>
        <family val="2"/>
      </rPr>
      <t>Condition(</t>
    </r>
    <r>
      <rPr>
        <sz val="10"/>
        <rFont val="Noto Sans CJK SC"/>
        <family val="2"/>
      </rPr>
      <t>主訴側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へ写像。患者の訴えの </t>
    </r>
    <r>
      <rPr>
        <sz val="10"/>
        <rFont val="Arial"/>
        <family val="2"/>
      </rPr>
      <t xml:space="preserve">narrative </t>
    </r>
    <r>
      <rPr>
        <sz val="10"/>
        <rFont val="Noto Sans CJK SC"/>
        <family val="2"/>
      </rPr>
      <t xml:space="preserve">は症状経過 </t>
    </r>
    <r>
      <rPr>
        <sz val="10"/>
        <rFont val="Arial"/>
        <family val="2"/>
      </rPr>
      <t xml:space="preserve">story </t>
    </r>
    <r>
      <rPr>
        <sz val="10"/>
        <rFont val="Noto Sans CJK SC"/>
        <family val="2"/>
      </rPr>
      <t>が担う</t>
    </r>
  </si>
  <si>
    <t>10</t>
  </si>
  <si>
    <t>既往歴</t>
  </si>
  <si>
    <t>既往歴及び家族歴</t>
  </si>
  <si>
    <r>
      <rPr>
        <sz val="10"/>
        <rFont val="Arial"/>
        <family val="2"/>
      </rPr>
      <t>OBSERVATION.story(</t>
    </r>
    <r>
      <rPr>
        <sz val="10"/>
        <rFont val="Noto Sans CJK SC"/>
        <family val="2"/>
      </rPr>
      <t>実在・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箇所の</t>
    </r>
    <r>
      <rPr>
        <sz val="10"/>
        <rFont val="Arial"/>
        <family val="2"/>
      </rPr>
      <t>1)</t>
    </r>
  </si>
  <si>
    <r>
      <rPr>
        <sz val="10"/>
        <rFont val="Arial"/>
        <family val="2"/>
      </rPr>
      <t>JP_Condition_eCS @ 370</t>
    </r>
    <r>
      <rPr>
        <sz val="10"/>
        <rFont val="Noto Sans CJK SC"/>
        <family val="2"/>
      </rPr>
      <t>「既往歴」</t>
    </r>
    <r>
      <rPr>
        <sz val="10"/>
        <rFont val="Arial"/>
        <family val="2"/>
      </rPr>
      <t>(+ section.text)</t>
    </r>
  </si>
  <si>
    <r>
      <rPr>
        <sz val="10"/>
        <rFont val="Arial"/>
        <family val="2"/>
      </rPr>
      <t>SECTION[</t>
    </r>
    <r>
      <rPr>
        <sz val="10"/>
        <rFont val="Noto Sans CJK SC"/>
        <family val="2"/>
      </rPr>
      <t>既往歴・家族歴</t>
    </r>
    <r>
      <rPr>
        <sz val="10"/>
        <rFont val="Arial"/>
        <family val="2"/>
      </rPr>
      <t>](adhoc)⊃ OBSERVATION.story(narrative</t>
    </r>
    <r>
      <rPr>
        <sz val="10"/>
        <rFont val="Noto Sans CJK SC"/>
        <family val="2"/>
      </rPr>
      <t>・主</t>
    </r>
    <r>
      <rPr>
        <sz val="10"/>
        <rFont val="Arial"/>
        <family val="2"/>
      </rPr>
      <t>)+ EVALUATION.problem_diagnosis (0..*)+ CLUSTER.problem_qualifier(clinical status)</t>
    </r>
  </si>
  <si>
    <r>
      <rPr>
        <sz val="10"/>
        <rFont val="Arial"/>
        <family val="2"/>
      </rPr>
      <t>q18</t>
    </r>
    <r>
      <rPr>
        <sz val="10"/>
        <rFont val="Noto Sans CJK SC"/>
        <family val="2"/>
      </rPr>
      <t xml:space="preserve">二形態論・センサー現物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】二本立て確定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臨床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パターン</t>
    </r>
    <r>
      <rPr>
        <sz val="10"/>
        <rFont val="Arial"/>
        <family val="2"/>
      </rPr>
      <t>/q18 8</t>
    </r>
    <r>
      <rPr>
        <sz val="10"/>
        <rFont val="Noto Sans CJK SC"/>
        <family val="2"/>
      </rPr>
      <t>割・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割</t>
    </r>
    <r>
      <rPr>
        <sz val="10"/>
        <rFont val="Arial"/>
        <family val="2"/>
      </rPr>
      <t xml:space="preserve">/JP-CLINS 370 </t>
    </r>
    <r>
      <rPr>
        <sz val="10"/>
        <rFont val="Noto Sans CJK SC"/>
        <family val="2"/>
      </rPr>
      <t xml:space="preserve">の </t>
    </r>
    <r>
      <rPr>
        <sz val="10"/>
        <rFont val="Arial"/>
        <family val="2"/>
      </rPr>
      <t xml:space="preserve">Condition+text </t>
    </r>
    <r>
      <rPr>
        <sz val="10"/>
        <rFont val="Noto Sans CJK SC"/>
        <family val="2"/>
      </rPr>
      <t>が収束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。節は様式</t>
    </r>
    <r>
      <rPr>
        <sz val="10"/>
        <rFont val="Arial"/>
        <family val="2"/>
      </rPr>
      <t xml:space="preserve">11 </t>
    </r>
    <r>
      <rPr>
        <sz val="10"/>
        <rFont val="Noto Sans CJK SC"/>
        <family val="2"/>
      </rPr>
      <t xml:space="preserve">の欄構成に合わせ「既往歴・家族歴」の </t>
    </r>
    <r>
      <rPr>
        <sz val="10"/>
        <rFont val="Arial"/>
        <family val="2"/>
      </rPr>
      <t xml:space="preserve">adhoc </t>
    </r>
    <r>
      <rPr>
        <sz val="10"/>
        <rFont val="Noto Sans CJK SC"/>
        <family val="2"/>
      </rPr>
      <t xml:space="preserve">一節に家族歴・アレルギー・感染症サマリ・生活歴と同居 — 判別はアーキタイプ種別で足り </t>
    </r>
    <r>
      <rPr>
        <sz val="10"/>
        <rFont val="Arial"/>
        <family val="2"/>
      </rPr>
      <t xml:space="preserve">name </t>
    </r>
    <r>
      <rPr>
        <sz val="10"/>
        <rFont val="Noto Sans CJK SC"/>
        <family val="2"/>
      </rPr>
      <t>制約不要。現傷病名との区別は節配置</t>
    </r>
    <r>
      <rPr>
        <sz val="10"/>
        <rFont val="Arial"/>
        <family val="2"/>
      </rPr>
      <t xml:space="preserve">+problem_qualifier </t>
    </r>
    <r>
      <rPr>
        <sz val="10"/>
        <rFont val="Noto Sans CJK SC"/>
        <family val="2"/>
      </rPr>
      <t>の二重。射影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様式</t>
    </r>
    <r>
      <rPr>
        <sz val="10"/>
        <rFont val="Arial"/>
        <family val="2"/>
      </rPr>
      <t xml:space="preserve">11 </t>
    </r>
    <r>
      <rPr>
        <sz val="10"/>
        <rFont val="Noto Sans CJK SC"/>
        <family val="2"/>
      </rPr>
      <t>は欄そのまま、</t>
    </r>
    <r>
      <rPr>
        <sz val="10"/>
        <rFont val="Arial"/>
        <family val="2"/>
      </rPr>
      <t xml:space="preserve">JP-CLINS </t>
    </r>
    <r>
      <rPr>
        <sz val="10"/>
        <rFont val="Noto Sans CJK SC"/>
        <family val="2"/>
      </rPr>
      <t xml:space="preserve">は </t>
    </r>
    <r>
      <rPr>
        <sz val="10"/>
        <rFont val="Arial"/>
        <family val="2"/>
      </rPr>
      <t>370/</t>
    </r>
    <r>
      <rPr>
        <sz val="10"/>
        <rFont val="Noto Sans CJK SC"/>
        <family val="2"/>
      </rPr>
      <t>家族歴</t>
    </r>
    <r>
      <rPr>
        <sz val="10"/>
        <rFont val="Arial"/>
        <family val="2"/>
      </rPr>
      <t xml:space="preserve">/AllergyIntolerance </t>
    </r>
    <r>
      <rPr>
        <sz val="10"/>
        <rFont val="Noto Sans CJK SC"/>
        <family val="2"/>
      </rPr>
      <t>へアーキタイプ種別で扇状展開。★節骨格の根拠は本行に集約</t>
    </r>
  </si>
  <si>
    <t>11</t>
  </si>
  <si>
    <t>家族歴</t>
  </si>
  <si>
    <t>同上</t>
  </si>
  <si>
    <r>
      <rPr>
        <sz val="10"/>
        <rFont val="Arial"/>
        <family val="2"/>
      </rPr>
      <t>EVALUATION.family_history(</t>
    </r>
    <r>
      <rPr>
        <sz val="10"/>
        <rFont val="Noto Sans CJK SC"/>
        <family val="2"/>
      </rPr>
      <t>実在</t>
    </r>
    <r>
      <rPr>
        <sz val="10"/>
        <rFont val="Arial"/>
        <family val="2"/>
      </rPr>
      <t>)</t>
    </r>
  </si>
  <si>
    <t>JP_FamilyMemberHistory_eCS</t>
  </si>
  <si>
    <r>
      <rPr>
        <sz val="10"/>
        <rFont val="Arial"/>
        <family val="2"/>
      </rPr>
      <t>EVALUATION.family_history @ SECTION[</t>
    </r>
    <r>
      <rPr>
        <sz val="10"/>
        <rFont val="Noto Sans CJK SC"/>
        <family val="2"/>
      </rPr>
      <t>既往歴・家族歴</t>
    </r>
    <r>
      <rPr>
        <sz val="10"/>
        <rFont val="Arial"/>
        <family val="2"/>
      </rPr>
      <t>]</t>
    </r>
  </si>
  <si>
    <r>
      <rPr>
        <sz val="10"/>
        <rFont val="Noto Sans CJK SC"/>
        <family val="2"/>
      </rPr>
      <t xml:space="preserve">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】節</t>
    </r>
    <r>
      <rPr>
        <sz val="10"/>
        <rFont val="Arial"/>
        <family val="2"/>
      </rPr>
      <t xml:space="preserve">: No.10 </t>
    </r>
    <r>
      <rPr>
        <sz val="10"/>
        <rFont val="Noto Sans CJK SC"/>
        <family val="2"/>
      </rPr>
      <t>参照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同節に同居。概念は独立</t>
    </r>
    <r>
      <rPr>
        <sz val="10"/>
        <rFont val="Arial"/>
        <family val="2"/>
      </rPr>
      <t>)</t>
    </r>
  </si>
  <si>
    <t>12</t>
  </si>
  <si>
    <t>現病歴・症状経過</t>
  </si>
  <si>
    <t>症状経過及び検査結果</t>
  </si>
  <si>
    <t>現病歴</t>
  </si>
  <si>
    <r>
      <rPr>
        <sz val="10"/>
        <rFont val="Arial"/>
        <family val="2"/>
      </rPr>
      <t>JP_Condition_eCS @ 360</t>
    </r>
    <r>
      <rPr>
        <sz val="10"/>
        <rFont val="Noto Sans CJK SC"/>
        <family val="2"/>
      </rPr>
      <t>「現病歴」</t>
    </r>
    <r>
      <rPr>
        <sz val="10"/>
        <rFont val="Arial"/>
        <family val="2"/>
      </rPr>
      <t>(+ section.text)</t>
    </r>
  </si>
  <si>
    <t>OBSERVATION.story @ SECTION.referral_details Details SLOT</t>
  </si>
  <si>
    <r>
      <rPr>
        <sz val="10"/>
        <rFont val="Arial"/>
        <family val="2"/>
      </rPr>
      <t>q18</t>
    </r>
    <r>
      <rPr>
        <sz val="10"/>
        <rFont val="Noto Sans CJK SC"/>
        <family val="2"/>
      </rPr>
      <t>注記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約</t>
    </r>
    <r>
      <rPr>
        <sz val="10"/>
        <rFont val="Arial"/>
        <family val="2"/>
      </rPr>
      <t>8</t>
    </r>
    <r>
      <rPr>
        <sz val="10"/>
        <rFont val="Noto Sans CJK SC"/>
        <family val="2"/>
      </rPr>
      <t xml:space="preserve">割 </t>
    </r>
    <r>
      <rPr>
        <sz val="10"/>
        <rFont val="Arial"/>
        <family val="2"/>
      </rPr>
      <t xml:space="preserve">narrative </t>
    </r>
    <r>
      <rPr>
        <sz val="10"/>
        <rFont val="Noto Sans CJK SC"/>
        <family val="2"/>
      </rPr>
      <t xml:space="preserve">側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</t>
    </r>
    <r>
      <rPr>
        <sz val="10"/>
        <rFont val="Arial"/>
        <family val="2"/>
      </rPr>
      <t xml:space="preserve">Details </t>
    </r>
    <r>
      <rPr>
        <sz val="10"/>
        <rFont val="Noto Sans CJK SC"/>
        <family val="2"/>
      </rPr>
      <t>スロット</t>
    </r>
    <r>
      <rPr>
        <sz val="10"/>
        <rFont val="Arial"/>
        <family val="2"/>
      </rPr>
      <t xml:space="preserve">(story </t>
    </r>
    <r>
      <rPr>
        <sz val="10"/>
        <rFont val="Noto Sans CJK SC"/>
        <family val="2"/>
      </rPr>
      <t>受入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へ</t>
    </r>
  </si>
  <si>
    <t>13</t>
  </si>
  <si>
    <t>検査結果</t>
  </si>
  <si>
    <r>
      <rPr>
        <sz val="10"/>
        <rFont val="Noto Sans CJK SC"/>
        <family val="2"/>
      </rPr>
      <t>直接なし</t>
    </r>
    <r>
      <rPr>
        <sz val="10"/>
        <rFont val="Arial"/>
        <family val="2"/>
      </rPr>
      <t xml:space="preserve">(citation/progress_note </t>
    </r>
    <r>
      <rPr>
        <sz val="10"/>
        <rFont val="Noto Sans CJK SC"/>
        <family val="2"/>
      </rPr>
      <t>代替か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</si>
  <si>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JP_Observation_LabResult_eCS(</t>
    </r>
    <r>
      <rPr>
        <sz val="10"/>
        <rFont val="Noto Sans CJK SC"/>
        <family val="2"/>
      </rPr>
      <t>感染症検体検査結果を含む</t>
    </r>
    <r>
      <rPr>
        <sz val="10"/>
        <rFont val="Arial"/>
        <family val="2"/>
      </rPr>
      <t>)</t>
    </r>
  </si>
  <si>
    <t>OBSERVATION.laboratory_test_result @ SECTION.referral_details Details SLOT</t>
  </si>
  <si>
    <r>
      <rPr>
        <sz val="10"/>
        <rFont val="Arial"/>
        <family val="2"/>
      </rPr>
      <t xml:space="preserve">LabResultReport </t>
    </r>
    <r>
      <rPr>
        <sz val="10"/>
        <rFont val="Noto Sans CJK SC"/>
        <family val="2"/>
      </rPr>
      <t>系譜と接続。</t>
    </r>
    <r>
      <rPr>
        <sz val="10"/>
        <rFont val="Arial"/>
        <family val="2"/>
      </rPr>
      <t xml:space="preserve">q19 specimen </t>
    </r>
    <r>
      <rPr>
        <sz val="10"/>
        <rFont val="Noto Sans CJK SC"/>
        <family val="2"/>
      </rPr>
      <t xml:space="preserve">センサー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</t>
    </r>
    <r>
      <rPr>
        <sz val="10"/>
        <rFont val="Arial"/>
        <family val="2"/>
      </rPr>
      <t xml:space="preserve">Details </t>
    </r>
    <r>
      <rPr>
        <sz val="10"/>
        <rFont val="Noto Sans CJK SC"/>
        <family val="2"/>
      </rPr>
      <t>スロット</t>
    </r>
    <r>
      <rPr>
        <sz val="10"/>
        <rFont val="Arial"/>
        <family val="2"/>
      </rPr>
      <t xml:space="preserve">(laboratory_test </t>
    </r>
    <r>
      <rPr>
        <sz val="10"/>
        <rFont val="Noto Sans CJK SC"/>
        <family val="2"/>
      </rPr>
      <t>受入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へ</t>
    </r>
  </si>
  <si>
    <t>14</t>
  </si>
  <si>
    <t>治療経過</t>
  </si>
  <si>
    <r>
      <rPr>
        <sz val="10"/>
        <rFont val="Arial"/>
        <family val="2"/>
      </rPr>
      <t>EVALUATION.clinical_synopsis(</t>
    </r>
    <r>
      <rPr>
        <sz val="10"/>
        <rFont val="Noto Sans CJK SC"/>
        <family val="2"/>
      </rPr>
      <t>実在・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箇所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</si>
  <si>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JP_DocumentReference @ 330</t>
    </r>
    <r>
      <rPr>
        <sz val="10"/>
        <rFont val="Noto Sans CJK SC"/>
        <family val="2"/>
      </rPr>
      <t>「臨床経過」</t>
    </r>
  </si>
  <si>
    <t>EVALUATION.clinical_synopsis @ SECTION.referral_details Details SLOT</t>
  </si>
  <si>
    <r>
      <rPr>
        <sz val="10"/>
        <rFont val="Noto Sans CJK SC"/>
        <family val="2"/>
      </rPr>
      <t xml:space="preserve">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</t>
    </r>
    <r>
      <rPr>
        <sz val="10"/>
        <rFont val="Arial"/>
        <family val="2"/>
      </rPr>
      <t xml:space="preserve">Details </t>
    </r>
    <r>
      <rPr>
        <sz val="10"/>
        <rFont val="Noto Sans CJK SC"/>
        <family val="2"/>
      </rPr>
      <t>スロットへ</t>
    </r>
  </si>
  <si>
    <t>15</t>
  </si>
  <si>
    <t>現在の処方</t>
  </si>
  <si>
    <t>処方情報</t>
  </si>
  <si>
    <r>
      <rPr>
        <sz val="10"/>
        <rFont val="Arial"/>
        <family val="2"/>
      </rPr>
      <t xml:space="preserve">SECTION.medication_order_list </t>
    </r>
    <r>
      <rPr>
        <sz val="10"/>
        <rFont val="Noto Sans CJK SC"/>
        <family val="2"/>
      </rPr>
      <t>のみ実在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中身の </t>
    </r>
    <r>
      <rPr>
        <sz val="10"/>
        <rFont val="Arial"/>
        <family val="2"/>
      </rPr>
      <t xml:space="preserve">ENTRY </t>
    </r>
    <r>
      <rPr>
        <sz val="10"/>
        <rFont val="Noto Sans CJK SC"/>
        <family val="2"/>
      </rPr>
      <t>欠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</si>
  <si>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JP_MedicationRequest_eCS @ 430</t>
    </r>
    <r>
      <rPr>
        <sz val="10"/>
        <rFont val="Noto Sans CJK SC"/>
        <family val="2"/>
      </rPr>
      <t>「投薬指示」</t>
    </r>
  </si>
  <si>
    <r>
      <rPr>
        <sz val="10"/>
        <rFont val="Arial"/>
        <family val="2"/>
      </rPr>
      <t xml:space="preserve">SECTION.medication_order_list(mml </t>
    </r>
    <r>
      <rPr>
        <sz val="10"/>
        <rFont val="Noto Sans CJK SC"/>
        <family val="2"/>
      </rPr>
      <t>系譜</t>
    </r>
    <r>
      <rPr>
        <sz val="10"/>
        <rFont val="Arial"/>
        <family val="2"/>
      </rPr>
      <t>)⊃ INSTRUCTION.medication_order</t>
    </r>
  </si>
  <si>
    <r>
      <rPr>
        <sz val="10"/>
        <rFont val="Arial"/>
        <family val="2"/>
      </rPr>
      <t>Step2</t>
    </r>
    <r>
      <rPr>
        <sz val="10"/>
        <rFont val="Noto Sans CJK SC"/>
        <family val="2"/>
      </rPr>
      <t>主要裁定。</t>
    </r>
    <r>
      <rPr>
        <sz val="10"/>
        <rFont val="Arial"/>
        <family val="2"/>
      </rPr>
      <t xml:space="preserve">JP Core Med </t>
    </r>
    <r>
      <rPr>
        <sz val="10"/>
        <rFont val="Noto Sans CJK SC"/>
        <family val="2"/>
      </rPr>
      <t xml:space="preserve">系担当知見と接続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】構造化採用を確定</t>
    </r>
    <r>
      <rPr>
        <sz val="10"/>
        <rFont val="Arial"/>
        <family val="2"/>
      </rPr>
      <t xml:space="preserve">(narrative </t>
    </r>
    <r>
      <rPr>
        <sz val="10"/>
        <rFont val="Noto Sans CJK SC"/>
        <family val="2"/>
      </rPr>
      <t>割り切り案は不採用</t>
    </r>
    <r>
      <rPr>
        <sz val="10"/>
        <rFont val="Arial"/>
        <family val="2"/>
      </rPr>
      <t>)</t>
    </r>
  </si>
  <si>
    <t>16</t>
  </si>
  <si>
    <t>アレルギー・不耐性</t>
  </si>
  <si>
    <r>
      <rPr>
        <sz val="10"/>
        <rFont val="Noto Sans CJK SC"/>
        <family val="2"/>
      </rPr>
      <t>明示欄なし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備考扱い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</si>
  <si>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? (</t>
    </r>
    <r>
      <rPr>
        <sz val="10"/>
        <rFont val="Noto Sans CJK SC"/>
        <family val="2"/>
      </rPr>
      <t>特記事項</t>
    </r>
    <r>
      <rPr>
        <sz val="10"/>
        <rFont val="Arial"/>
        <family val="2"/>
      </rPr>
      <t>)</t>
    </r>
  </si>
  <si>
    <t>なし</t>
  </si>
  <si>
    <r>
      <rPr>
        <sz val="10"/>
        <rFont val="Arial"/>
        <family val="2"/>
      </rPr>
      <t>JP_AllergyIntolerance_eCS(</t>
    </r>
    <r>
      <rPr>
        <sz val="10"/>
        <rFont val="Noto Sans CJK SC"/>
        <family val="2"/>
      </rPr>
      <t>節非依存エントリ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</si>
  <si>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EVALUATION.adverse_reaction_risk @ SECTION[</t>
    </r>
    <r>
      <rPr>
        <sz val="10"/>
        <rFont val="Noto Sans CJK SC"/>
        <family val="2"/>
      </rPr>
      <t>既往歴・家族歴</t>
    </r>
    <r>
      <rPr>
        <sz val="10"/>
        <rFont val="Arial"/>
        <family val="2"/>
      </rPr>
      <t>]</t>
    </r>
  </si>
  <si>
    <r>
      <rPr>
        <sz val="10"/>
        <rFont val="Arial"/>
        <family val="2"/>
      </rPr>
      <t xml:space="preserve">JP-CLINS </t>
    </r>
    <r>
      <rPr>
        <sz val="10"/>
        <rFont val="Noto Sans CJK SC"/>
        <family val="2"/>
      </rPr>
      <t xml:space="preserve">駆動の代表的な穴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】既往歴側に同居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臨床文書の慣行</t>
    </r>
    <r>
      <rPr>
        <sz val="10"/>
        <rFont val="Arial"/>
        <family val="2"/>
      </rPr>
      <t>)</t>
    </r>
  </si>
  <si>
    <t>17</t>
  </si>
  <si>
    <t>感染症情報</t>
  </si>
  <si>
    <r>
      <rPr>
        <sz val="10"/>
        <rFont val="Noto Sans CJK SC"/>
        <family val="2"/>
      </rPr>
      <t xml:space="preserve">感染症 </t>
    </r>
    <r>
      <rPr>
        <sz val="10"/>
        <rFont val="Arial"/>
        <family val="2"/>
      </rPr>
      <t>?</t>
    </r>
  </si>
  <si>
    <r>
      <rPr>
        <sz val="10"/>
        <rFont val="Arial"/>
        <family val="2"/>
      </rPr>
      <t xml:space="preserve">JP_Condition_eCS @ 340 + </t>
    </r>
    <r>
      <rPr>
        <sz val="10"/>
        <rFont val="Noto Sans CJK SC"/>
        <family val="2"/>
      </rPr>
      <t xml:space="preserve">根拠は </t>
    </r>
    <r>
      <rPr>
        <sz val="10"/>
        <rFont val="Arial"/>
        <family val="2"/>
      </rPr>
      <t>JP_Observation_LabResult_eCS(</t>
    </r>
    <r>
      <rPr>
        <sz val="10"/>
        <rFont val="Noto Sans CJK SC"/>
        <family val="2"/>
      </rPr>
      <t>二部写像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</si>
  <si>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EVALUATION.infectious_disease_summary(ID</t>
    </r>
    <r>
      <rPr>
        <sz val="10"/>
        <rFont val="Noto Sans CJK SC"/>
        <family val="2"/>
      </rPr>
      <t xml:space="preserve">・版は </t>
    </r>
    <r>
      <rPr>
        <sz val="10"/>
        <rFont val="Arial"/>
        <family val="2"/>
      </rPr>
      <t xml:space="preserve">AD </t>
    </r>
    <r>
      <rPr>
        <sz val="10"/>
        <rFont val="Noto Sans CJK SC"/>
        <family val="2"/>
      </rPr>
      <t>実測</t>
    </r>
    <r>
      <rPr>
        <sz val="10"/>
        <rFont val="Arial"/>
        <family val="2"/>
      </rPr>
      <t>)@ SECTION[</t>
    </r>
    <r>
      <rPr>
        <sz val="10"/>
        <rFont val="Noto Sans CJK SC"/>
        <family val="2"/>
      </rPr>
      <t>既往歴・家族歴</t>
    </r>
    <r>
      <rPr>
        <sz val="10"/>
        <rFont val="Arial"/>
        <family val="2"/>
      </rPr>
      <t>](</t>
    </r>
    <r>
      <rPr>
        <sz val="10"/>
        <rFont val="Noto Sans CJK SC"/>
        <family val="2"/>
      </rPr>
      <t>案</t>
    </r>
    <r>
      <rPr>
        <sz val="10"/>
        <rFont val="Arial"/>
        <family val="2"/>
      </rPr>
      <t>a</t>
    </r>
    <r>
      <rPr>
        <sz val="10"/>
        <rFont val="Noto Sans CJK SC"/>
        <family val="2"/>
      </rPr>
      <t>・要確認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</si>
  <si>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専用サマリ </t>
    </r>
    <r>
      <rPr>
        <sz val="10"/>
        <rFont val="Arial"/>
        <family val="2"/>
      </rPr>
      <t xml:space="preserve">archetype </t>
    </r>
    <r>
      <rPr>
        <sz val="10"/>
        <rFont val="Noto Sans CJK SC"/>
        <family val="2"/>
      </rPr>
      <t>を採用。</t>
    </r>
    <r>
      <rPr>
        <sz val="10"/>
        <rFont val="Arial"/>
        <family val="2"/>
      </rPr>
      <t xml:space="preserve">problem_diagnosis </t>
    </r>
    <r>
      <rPr>
        <sz val="10"/>
        <rFont val="Noto Sans CJK SC"/>
        <family val="2"/>
      </rPr>
      <t>案・</t>
    </r>
    <r>
      <rPr>
        <sz val="10"/>
        <rFont val="Arial"/>
        <family val="2"/>
      </rPr>
      <t xml:space="preserve">LabResult </t>
    </r>
    <r>
      <rPr>
        <sz val="10"/>
        <rFont val="Noto Sans CJK SC"/>
        <family val="2"/>
      </rPr>
      <t>統合案は撤回。状態の評価</t>
    </r>
    <r>
      <rPr>
        <sz val="10"/>
        <rFont val="Arial"/>
        <family val="2"/>
      </rPr>
      <t xml:space="preserve">=EVALUATION summary </t>
    </r>
    <r>
      <rPr>
        <sz val="10"/>
        <rFont val="Noto Sans CJK SC"/>
        <family val="2"/>
      </rPr>
      <t>系。</t>
    </r>
    <r>
      <rPr>
        <sz val="10"/>
        <rFont val="Arial"/>
        <family val="2"/>
      </rPr>
      <t xml:space="preserve">JP-CLINS </t>
    </r>
    <r>
      <rPr>
        <sz val="10"/>
        <rFont val="Noto Sans CJK SC"/>
        <family val="2"/>
      </rPr>
      <t xml:space="preserve">写像は </t>
    </r>
    <r>
      <rPr>
        <sz val="10"/>
        <rFont val="Arial"/>
        <family val="2"/>
      </rPr>
      <t>Condition(+</t>
    </r>
    <r>
      <rPr>
        <sz val="10"/>
        <rFont val="Noto Sans CJK SC"/>
        <family val="2"/>
      </rPr>
      <t xml:space="preserve">根拠 </t>
    </r>
    <r>
      <rPr>
        <sz val="10"/>
        <rFont val="Arial"/>
        <family val="2"/>
      </rPr>
      <t>LabResult)</t>
    </r>
    <r>
      <rPr>
        <sz val="10"/>
        <rFont val="Noto Sans CJK SC"/>
        <family val="2"/>
      </rPr>
      <t>の二部。版・公開状態・</t>
    </r>
    <r>
      <rPr>
        <sz val="10"/>
        <rFont val="Arial"/>
        <family val="2"/>
      </rPr>
      <t xml:space="preserve">ja </t>
    </r>
    <r>
      <rPr>
        <sz val="10"/>
        <rFont val="Noto Sans CJK SC"/>
        <family val="2"/>
      </rPr>
      <t>訳の有無を記録</t>
    </r>
  </si>
  <si>
    <t>18</t>
  </si>
  <si>
    <r>
      <rPr>
        <sz val="10"/>
        <rFont val="Noto Sans CJK SC"/>
        <family val="2"/>
      </rPr>
      <t>生活歴</t>
    </r>
    <r>
      <rPr>
        <sz val="10"/>
        <rFont val="Arial"/>
        <family val="2"/>
      </rPr>
      <t>(narrative)</t>
    </r>
  </si>
  <si>
    <t>?</t>
  </si>
  <si>
    <r>
      <rPr>
        <sz val="10"/>
        <rFont val="Arial"/>
        <family val="2"/>
      </rPr>
      <t>JP_Observation_Common(</t>
    </r>
    <r>
      <rPr>
        <sz val="10"/>
        <rFont val="Noto Sans CJK SC"/>
        <family val="2"/>
      </rPr>
      <t>社会歴・生活習慣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</si>
  <si>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EVALUATION.social_summary @ SECTION[</t>
    </r>
    <r>
      <rPr>
        <sz val="10"/>
        <rFont val="Noto Sans CJK SC"/>
        <family val="2"/>
      </rPr>
      <t>既往歴・家族歴</t>
    </r>
    <r>
      <rPr>
        <sz val="10"/>
        <rFont val="Arial"/>
        <family val="2"/>
      </rPr>
      <t>]</t>
    </r>
  </si>
  <si>
    <r>
      <rPr>
        <sz val="10"/>
        <rFont val="Arial"/>
        <family val="2"/>
      </rPr>
      <t xml:space="preserve">OPT </t>
    </r>
    <r>
      <rPr>
        <sz val="10"/>
        <rFont val="Noto Sans CJK SC"/>
        <family val="2"/>
      </rPr>
      <t xml:space="preserve">に </t>
    </r>
    <r>
      <rPr>
        <sz val="10"/>
        <rFont val="Arial"/>
        <family val="2"/>
      </rPr>
      <t xml:space="preserve">exposure </t>
    </r>
    <r>
      <rPr>
        <sz val="10"/>
        <rFont val="Noto Sans CJK SC"/>
        <family val="2"/>
      </rPr>
      <t xml:space="preserve">が居る趣旨の確認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</t>
    </r>
    <r>
      <rPr>
        <sz val="10"/>
        <rFont val="Arial"/>
        <family val="2"/>
      </rPr>
      <t xml:space="preserve">narrative </t>
    </r>
    <r>
      <rPr>
        <sz val="10"/>
        <rFont val="Noto Sans CJK SC"/>
        <family val="2"/>
      </rPr>
      <t xml:space="preserve">の生活歴は </t>
    </r>
    <r>
      <rPr>
        <sz val="10"/>
        <rFont val="Arial"/>
        <family val="2"/>
      </rPr>
      <t xml:space="preserve">social_summary </t>
    </r>
    <r>
      <rPr>
        <sz val="10"/>
        <rFont val="Noto Sans CJK SC"/>
        <family val="2"/>
      </rPr>
      <t>で受ける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様式</t>
    </r>
    <r>
      <rPr>
        <sz val="10"/>
        <rFont val="Arial"/>
        <family val="2"/>
      </rPr>
      <t xml:space="preserve">11 </t>
    </r>
    <r>
      <rPr>
        <sz val="10"/>
        <rFont val="Noto Sans CJK SC"/>
        <family val="2"/>
      </rPr>
      <t>に欄なし・構造化要件なし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。</t>
    </r>
    <r>
      <rPr>
        <sz val="10"/>
        <rFont val="Arial"/>
        <family val="2"/>
      </rPr>
      <t>exposure=</t>
    </r>
    <r>
      <rPr>
        <sz val="10"/>
        <rFont val="Noto Sans CJK SC"/>
        <family val="2"/>
      </rPr>
      <t>環境・職業因子と判明、</t>
    </r>
    <r>
      <rPr>
        <sz val="10"/>
        <rFont val="Arial"/>
        <family val="2"/>
      </rPr>
      <t xml:space="preserve">v2 core </t>
    </r>
    <r>
      <rPr>
        <sz val="10"/>
        <rFont val="Noto Sans CJK SC"/>
        <family val="2"/>
      </rPr>
      <t>から予約枠へ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下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行</t>
    </r>
    <r>
      <rPr>
        <sz val="10"/>
        <rFont val="Arial"/>
        <family val="2"/>
      </rPr>
      <t>)</t>
    </r>
  </si>
  <si>
    <t>18b</t>
  </si>
  <si>
    <r>
      <rPr>
        <sz val="10"/>
        <rFont val="Noto Sans CJK SC"/>
        <family val="2"/>
      </rPr>
      <t>喫煙歴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構造化</t>
    </r>
    <r>
      <rPr>
        <sz val="10"/>
        <rFont val="Arial"/>
        <family val="2"/>
      </rPr>
      <t>)</t>
    </r>
  </si>
  <si>
    <t>-</t>
  </si>
  <si>
    <t>JP_Observation_Common</t>
  </si>
  <si>
    <r>
      <rPr>
        <sz val="10"/>
        <rFont val="Arial"/>
        <family val="2"/>
      </rPr>
      <t>EVALUATION.tobacco_smoking_summary @ SECTION[</t>
    </r>
    <r>
      <rPr>
        <sz val="10"/>
        <rFont val="Noto Sans CJK SC"/>
        <family val="2"/>
      </rPr>
      <t>既往歴・家族歴</t>
    </r>
    <r>
      <rPr>
        <sz val="10"/>
        <rFont val="Arial"/>
        <family val="2"/>
      </rPr>
      <t>]</t>
    </r>
  </si>
  <si>
    <r>
      <rPr>
        <sz val="10"/>
        <rFont val="Noto Sans CJK SC"/>
        <family val="2"/>
      </rPr>
      <t>【新設】要件出現時に導入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専用サマリ。</t>
    </r>
    <r>
      <rPr>
        <sz val="10"/>
        <rFont val="Arial"/>
        <family val="2"/>
      </rPr>
      <t xml:space="preserve">substance_use </t>
    </r>
    <r>
      <rPr>
        <sz val="10"/>
        <rFont val="Noto Sans CJK SC"/>
        <family val="2"/>
      </rPr>
      <t>は他物質用</t>
    </r>
    <r>
      <rPr>
        <sz val="10"/>
        <rFont val="Arial"/>
        <family val="2"/>
      </rPr>
      <t>)</t>
    </r>
  </si>
  <si>
    <t>18c</t>
  </si>
  <si>
    <r>
      <rPr>
        <sz val="10"/>
        <rFont val="Noto Sans CJK SC"/>
        <family val="2"/>
      </rPr>
      <t>飲酒歴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構造化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</si>
  <si>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EVALUATION.alcohol_consumption_summary.v1 @ SECTION[</t>
    </r>
    <r>
      <rPr>
        <sz val="10"/>
        <rFont val="Noto Sans CJK SC"/>
        <family val="2"/>
      </rPr>
      <t>既往歴・家族歴</t>
    </r>
    <r>
      <rPr>
        <sz val="10"/>
        <rFont val="Arial"/>
        <family val="2"/>
      </rPr>
      <t>]</t>
    </r>
  </si>
  <si>
    <t>【新設】要件出現時に導入</t>
  </si>
  <si>
    <t>18d</t>
  </si>
  <si>
    <r>
      <rPr>
        <sz val="10"/>
        <rFont val="Noto Sans CJK SC"/>
        <family val="2"/>
      </rPr>
      <t>薬物使用歴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構造化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</si>
  <si>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EVALUATION.substance_use_summary(0..1)@ SECTION[</t>
    </r>
    <r>
      <rPr>
        <sz val="10"/>
        <rFont val="Noto Sans CJK SC"/>
        <family val="2"/>
      </rPr>
      <t>既往歴・家族歴</t>
    </r>
    <r>
      <rPr>
        <sz val="10"/>
        <rFont val="Arial"/>
        <family val="2"/>
      </rPr>
      <t>]</t>
    </r>
  </si>
  <si>
    <r>
      <rPr>
        <sz val="10"/>
        <rFont val="Noto Sans CJK SC"/>
        <family val="2"/>
      </rPr>
      <t>【新設】要件出現時に導入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喫煙・飲酒以外の物質</t>
    </r>
    <r>
      <rPr>
        <sz val="10"/>
        <rFont val="Arial"/>
        <family val="2"/>
      </rPr>
      <t>)</t>
    </r>
  </si>
  <si>
    <t>18e</t>
  </si>
  <si>
    <r>
      <rPr>
        <sz val="10"/>
        <rFont val="Noto Sans CJK SC"/>
        <family val="2"/>
      </rPr>
      <t>曝露歴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環境・職業因子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</si>
  <si>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EVALUATION.exposure(</t>
    </r>
    <r>
      <rPr>
        <sz val="10"/>
        <rFont val="Noto Sans CJK SC"/>
        <family val="2"/>
      </rPr>
      <t>実在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</si>
  <si>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EVALUATION.exposure @ SECTION[</t>
    </r>
    <r>
      <rPr>
        <sz val="10"/>
        <rFont val="Noto Sans CJK SC"/>
        <family val="2"/>
      </rPr>
      <t>既往歴・家族歴</t>
    </r>
    <r>
      <rPr>
        <sz val="10"/>
        <rFont val="Arial"/>
        <family val="2"/>
      </rPr>
      <t>]</t>
    </r>
  </si>
  <si>
    <r>
      <rPr>
        <sz val="10"/>
        <rFont val="Noto Sans CJK SC"/>
        <family val="2"/>
      </rPr>
      <t>【新設】石綿等の環境・職業因子。</t>
    </r>
    <r>
      <rPr>
        <sz val="10"/>
        <rFont val="Arial"/>
        <family val="2"/>
      </rPr>
      <t xml:space="preserve">mml_referral </t>
    </r>
    <r>
      <rPr>
        <sz val="10"/>
        <rFont val="Noto Sans CJK SC"/>
        <family val="2"/>
      </rPr>
      <t xml:space="preserve">に実在したが </t>
    </r>
    <r>
      <rPr>
        <sz val="10"/>
        <rFont val="Arial"/>
        <family val="2"/>
      </rPr>
      <t xml:space="preserve">v2 core </t>
    </r>
    <r>
      <rPr>
        <sz val="10"/>
        <rFont val="Noto Sans CJK SC"/>
        <family val="2"/>
      </rPr>
      <t>からは予約枠へ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系譜処遇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予約</t>
    </r>
    <r>
      <rPr>
        <sz val="10"/>
        <rFont val="Arial"/>
        <family val="2"/>
      </rPr>
      <t>)</t>
    </r>
  </si>
  <si>
    <t>19</t>
  </si>
  <si>
    <r>
      <rPr>
        <sz val="10"/>
        <rFont val="Noto Sans CJK SC"/>
        <family val="2"/>
      </rPr>
      <t>経過記録</t>
    </r>
    <r>
      <rPr>
        <sz val="10"/>
        <rFont val="Arial"/>
        <family val="2"/>
      </rPr>
      <t>(SOAP</t>
    </r>
    <r>
      <rPr>
        <sz val="10"/>
        <rFont val="Noto Sans CJK SC"/>
        <family val="2"/>
      </rPr>
      <t>断片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</si>
  <si>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治療経過に包含</t>
    </r>
    <r>
      <rPr>
        <sz val="10"/>
        <rFont val="Arial"/>
        <family val="2"/>
      </rPr>
      <t>?</t>
    </r>
  </si>
  <si>
    <r>
      <rPr>
        <sz val="10"/>
        <rFont val="Noto Sans CJK SC"/>
        <family val="2"/>
      </rPr>
      <t xml:space="preserve">経過記録 </t>
    </r>
    <r>
      <rPr>
        <sz val="10"/>
        <rFont val="Arial"/>
        <family val="2"/>
      </rPr>
      <t>?</t>
    </r>
  </si>
  <si>
    <r>
      <rPr>
        <sz val="10"/>
        <rFont val="Arial"/>
        <family val="2"/>
      </rPr>
      <t>OBSERVATION.progress_note(</t>
    </r>
    <r>
      <rPr>
        <sz val="10"/>
        <rFont val="Noto Sans CJK SC"/>
        <family val="2"/>
      </rPr>
      <t>実在・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箇所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</si>
  <si>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対応なし — 臨床経過 </t>
    </r>
    <r>
      <rPr>
        <sz val="10"/>
        <rFont val="Arial"/>
        <family val="2"/>
      </rPr>
      <t xml:space="preserve">330 </t>
    </r>
    <r>
      <rPr>
        <sz val="10"/>
        <rFont val="Noto Sans CJK SC"/>
        <family val="2"/>
      </rPr>
      <t>に統合か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</si>
  <si>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clinical_synopsis </t>
    </r>
    <r>
      <rPr>
        <sz val="10"/>
        <rFont val="Noto Sans CJK SC"/>
        <family val="2"/>
      </rPr>
      <t xml:space="preserve">へ統合 </t>
    </r>
    <r>
      <rPr>
        <sz val="10"/>
        <rFont val="Arial"/>
        <family val="2"/>
      </rPr>
      <t xml:space="preserve">or </t>
    </r>
    <r>
      <rPr>
        <sz val="10"/>
        <rFont val="Noto Sans CJK SC"/>
        <family val="2"/>
      </rPr>
      <t>維持</t>
    </r>
  </si>
  <si>
    <r>
      <rPr>
        <sz val="10"/>
        <rFont val="Arial"/>
        <family val="2"/>
      </rPr>
      <t>Step2</t>
    </r>
    <r>
      <rPr>
        <sz val="10"/>
        <rFont val="Noto Sans CJK SC"/>
        <family val="2"/>
      </rPr>
      <t>裁定</t>
    </r>
  </si>
  <si>
    <r>
      <rPr>
        <sz val="10"/>
        <rFont val="Arial"/>
        <family val="2"/>
      </rPr>
      <t xml:space="preserve">I/A/P </t>
    </r>
    <r>
      <rPr>
        <sz val="10"/>
        <rFont val="Noto Sans CJK SC"/>
        <family val="2"/>
      </rPr>
      <t xml:space="preserve">ラベル観察済み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】未裁定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統合 </t>
    </r>
    <r>
      <rPr>
        <sz val="10"/>
        <rFont val="Arial"/>
        <family val="2"/>
      </rPr>
      <t xml:space="preserve">or </t>
    </r>
    <r>
      <rPr>
        <sz val="10"/>
        <rFont val="Noto Sans CJK SC"/>
        <family val="2"/>
      </rPr>
      <t>維持</t>
    </r>
    <r>
      <rPr>
        <sz val="10"/>
        <rFont val="Arial"/>
        <family val="2"/>
      </rPr>
      <t xml:space="preserve">)— </t>
    </r>
    <r>
      <rPr>
        <sz val="10"/>
        <rFont val="Noto Sans CJK SC"/>
        <family val="2"/>
      </rPr>
      <t>残裁定</t>
    </r>
  </si>
  <si>
    <t>20</t>
  </si>
  <si>
    <t>依頼</t>
  </si>
  <si>
    <r>
      <rPr>
        <sz val="10"/>
        <rFont val="Noto Sans CJK SC"/>
        <family val="2"/>
      </rPr>
      <t>依頼内容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検査・治療の依頼</t>
    </r>
    <r>
      <rPr>
        <sz val="10"/>
        <rFont val="Arial"/>
        <family val="2"/>
      </rPr>
      <t>)</t>
    </r>
  </si>
  <si>
    <t>紹介目的に包含</t>
  </si>
  <si>
    <t>依頼事項</t>
  </si>
  <si>
    <r>
      <rPr>
        <sz val="10"/>
        <rFont val="Arial"/>
        <family val="2"/>
      </rPr>
      <t>INSTRUCTION.request-referral(</t>
    </r>
    <r>
      <rPr>
        <sz val="10"/>
        <rFont val="Noto Sans CJK SC"/>
        <family val="2"/>
      </rPr>
      <t>実在・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カード・主デモ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</si>
  <si>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(eReferral </t>
    </r>
    <r>
      <rPr>
        <sz val="10"/>
        <rFont val="Noto Sans CJK SC"/>
        <family val="2"/>
      </rPr>
      <t xml:space="preserve">に </t>
    </r>
    <r>
      <rPr>
        <sz val="10"/>
        <rFont val="Arial"/>
        <family val="2"/>
      </rPr>
      <t xml:space="preserve">ServiceRequest </t>
    </r>
    <r>
      <rPr>
        <sz val="10"/>
        <rFont val="Noto Sans CJK SC"/>
        <family val="2"/>
      </rPr>
      <t xml:space="preserve">なし — </t>
    </r>
    <r>
      <rPr>
        <sz val="10"/>
        <rFont val="Arial"/>
        <family val="2"/>
      </rPr>
      <t xml:space="preserve">Composition/Encounter </t>
    </r>
    <r>
      <rPr>
        <sz val="10"/>
        <rFont val="Noto Sans CJK SC"/>
        <family val="2"/>
      </rPr>
      <t>中心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</si>
  <si>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INSTRUCTION.request-referral / Service requested </t>
    </r>
    <r>
      <rPr>
        <sz val="10"/>
        <rFont val="Noto Sans CJK SC"/>
        <family val="2"/>
      </rPr>
      <t>要素</t>
    </r>
    <r>
      <rPr>
        <sz val="10"/>
        <rFont val="Arial"/>
        <family val="2"/>
      </rPr>
      <t xml:space="preserve">(at-code </t>
    </r>
    <r>
      <rPr>
        <sz val="10"/>
        <rFont val="Noto Sans CJK SC"/>
        <family val="2"/>
      </rPr>
      <t xml:space="preserve">は </t>
    </r>
    <r>
      <rPr>
        <sz val="10"/>
        <rFont val="Arial"/>
        <family val="2"/>
      </rPr>
      <t xml:space="preserve">AD </t>
    </r>
    <r>
      <rPr>
        <sz val="10"/>
        <rFont val="Noto Sans CJK SC"/>
        <family val="2"/>
      </rPr>
      <t>実測で確定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【暫定】</t>
    </r>
  </si>
  <si>
    <r>
      <rPr>
        <sz val="10"/>
        <rFont val="Arial"/>
        <family val="2"/>
      </rPr>
      <t xml:space="preserve">#33 </t>
    </r>
    <r>
      <rPr>
        <sz val="10"/>
        <rFont val="Noto Sans CJK SC"/>
        <family val="2"/>
      </rPr>
      <t>後続</t>
    </r>
    <r>
      <rPr>
        <sz val="10"/>
        <rFont val="Arial"/>
        <family val="2"/>
      </rPr>
      <t xml:space="preserve">: ServiceRequest </t>
    </r>
    <r>
      <rPr>
        <sz val="10"/>
        <rFont val="Noto Sans CJK SC"/>
        <family val="2"/>
      </rPr>
      <t xml:space="preserve">写像の予約と接続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】要素指定</t>
    </r>
    <r>
      <rPr>
        <sz val="10"/>
        <rFont val="Arial"/>
        <family val="2"/>
      </rPr>
      <t>(service_requested)</t>
    </r>
    <r>
      <rPr>
        <sz val="10"/>
        <rFont val="Noto Sans CJK SC"/>
        <family val="2"/>
      </rPr>
      <t>を暫定採用。</t>
    </r>
    <r>
      <rPr>
        <sz val="10"/>
        <rFont val="Arial"/>
        <family val="2"/>
      </rPr>
      <t xml:space="preserve">ServiceRequest </t>
    </r>
    <r>
      <rPr>
        <sz val="10"/>
        <rFont val="Noto Sans CJK SC"/>
        <family val="2"/>
      </rPr>
      <t xml:space="preserve">写像は汎用 </t>
    </r>
    <r>
      <rPr>
        <sz val="10"/>
        <rFont val="Arial"/>
        <family val="2"/>
      </rPr>
      <t xml:space="preserve">FHIR </t>
    </r>
    <r>
      <rPr>
        <sz val="10"/>
        <rFont val="Noto Sans CJK SC"/>
        <family val="2"/>
      </rPr>
      <t>向け</t>
    </r>
    <r>
      <rPr>
        <sz val="10"/>
        <rFont val="Arial"/>
        <family val="2"/>
      </rPr>
      <t xml:space="preserve">(JP-CLINS </t>
    </r>
    <r>
      <rPr>
        <sz val="10"/>
        <rFont val="Noto Sans CJK SC"/>
        <family val="2"/>
      </rPr>
      <t>表とは別</t>
    </r>
    <r>
      <rPr>
        <sz val="10"/>
        <rFont val="Arial"/>
        <family val="2"/>
      </rPr>
      <t>)</t>
    </r>
  </si>
  <si>
    <t>21</t>
  </si>
  <si>
    <t>添付</t>
  </si>
  <si>
    <t>添付資料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</si>
  <si>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現物添付</t>
    </r>
    <r>
      <rPr>
        <sz val="10"/>
        <rFont val="Arial"/>
        <family val="2"/>
      </rPr>
      <t>)</t>
    </r>
  </si>
  <si>
    <t>画像・文書添付</t>
  </si>
  <si>
    <r>
      <rPr>
        <sz val="10"/>
        <rFont val="Arial"/>
        <family val="2"/>
      </rPr>
      <t>CLUSTER.multimedia + citation(</t>
    </r>
    <r>
      <rPr>
        <sz val="10"/>
        <rFont val="Noto Sans CJK SC"/>
        <family val="2"/>
      </rPr>
      <t>実在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</si>
  <si>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JP_DocumentReference(</t>
    </r>
    <r>
      <rPr>
        <sz val="10"/>
        <rFont val="Noto Sans CJK SC"/>
        <family val="2"/>
      </rPr>
      <t>添付・</t>
    </r>
    <r>
      <rPr>
        <sz val="10"/>
        <rFont val="Arial"/>
        <family val="2"/>
      </rPr>
      <t>PDF)+ JP_Bundle_eDischargeSummary(</t>
    </r>
    <r>
      <rPr>
        <sz val="10"/>
        <rFont val="Noto Sans CJK SC"/>
        <family val="2"/>
      </rPr>
      <t>退院サマリ添付</t>
    </r>
    <r>
      <rPr>
        <sz val="10"/>
        <rFont val="Arial"/>
        <family val="2"/>
      </rPr>
      <t>)</t>
    </r>
  </si>
  <si>
    <t>CLUSTER.multimedia / citation</t>
  </si>
  <si>
    <t>22</t>
  </si>
  <si>
    <t>備考</t>
  </si>
  <si>
    <r>
      <rPr>
        <sz val="10"/>
        <rFont val="Arial"/>
        <family val="2"/>
      </rPr>
      <t>free_text(</t>
    </r>
    <r>
      <rPr>
        <sz val="10"/>
        <rFont val="Noto Sans CJK SC"/>
        <family val="2"/>
      </rPr>
      <t>実在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</si>
  <si>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セクション</t>
    </r>
    <r>
      <rPr>
        <sz val="10"/>
        <rFont val="Arial"/>
        <family val="2"/>
      </rPr>
      <t>220</t>
    </r>
    <r>
      <rPr>
        <sz val="10"/>
        <rFont val="Noto Sans CJK SC"/>
        <family val="2"/>
      </rPr>
      <t>「備考・連絡情報」</t>
    </r>
  </si>
  <si>
    <r>
      <rPr>
        <sz val="10"/>
        <rFont val="Arial"/>
        <family val="2"/>
      </rPr>
      <t>free_text @ SECTION[</t>
    </r>
    <r>
      <rPr>
        <sz val="10"/>
        <rFont val="Noto Sans CJK SC"/>
        <family val="2"/>
      </rPr>
      <t>備考</t>
    </r>
    <r>
      <rPr>
        <sz val="10"/>
        <rFont val="Arial"/>
        <family val="2"/>
      </rPr>
      <t>]</t>
    </r>
  </si>
  <si>
    <r>
      <rPr>
        <sz val="10"/>
        <rFont val="Noto Sans CJK SC"/>
        <family val="2"/>
      </rPr>
      <t xml:space="preserve">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】節住所付与</t>
    </r>
  </si>
  <si>
    <t>23</t>
  </si>
  <si>
    <t>人種</t>
  </si>
  <si>
    <r>
      <rPr>
        <sz val="10"/>
        <rFont val="Arial"/>
        <family val="2"/>
      </rPr>
      <t>CLUSTER.race(</t>
    </r>
    <r>
      <rPr>
        <sz val="10"/>
        <rFont val="Noto Sans CJK SC"/>
        <family val="2"/>
      </rPr>
      <t>実在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</si>
  <si>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削除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日本文脈で不要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</si>
  <si>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とりあえず不要。 【統括反映 </t>
    </r>
    <r>
      <rPr>
        <sz val="10"/>
        <rFont val="Arial"/>
        <family val="2"/>
      </rPr>
      <t>9/4</t>
    </r>
    <r>
      <rPr>
        <sz val="10"/>
        <rFont val="Noto Sans CJK SC"/>
        <family val="2"/>
      </rPr>
      <t>】削除確定</t>
    </r>
  </si>
  <si>
    <t>24</t>
  </si>
  <si>
    <t>身体所見</t>
  </si>
  <si>
    <r>
      <rPr>
        <sz val="10"/>
        <rFont val="Arial"/>
        <family val="2"/>
      </rPr>
      <t>JP_Observation_Common(</t>
    </r>
    <r>
      <rPr>
        <sz val="10"/>
        <rFont val="Noto Sans CJK SC"/>
        <family val="2"/>
      </rPr>
      <t>身体所見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</si>
  <si>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OBSERVATION.exam @ SECTION.referral_details Details SLOT(</t>
    </r>
    <r>
      <rPr>
        <sz val="10"/>
        <rFont val="Noto Sans CJK SC"/>
        <family val="2"/>
      </rPr>
      <t>任意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</si>
  <si>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【新設】</t>
    </r>
    <r>
      <rPr>
        <sz val="10"/>
        <rFont val="Arial"/>
        <family val="2"/>
      </rPr>
      <t xml:space="preserve">Details </t>
    </r>
    <r>
      <rPr>
        <sz val="10"/>
        <rFont val="Noto Sans CJK SC"/>
        <family val="2"/>
      </rPr>
      <t>スロットの受け入れ対象。実務の紹介状に頻出。任意</t>
    </r>
  </si>
  <si>
    <t>25</t>
  </si>
  <si>
    <t>画像所見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</si>
  <si>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添付 </t>
    </r>
    <r>
      <rPr>
        <sz val="10"/>
        <rFont val="Arial"/>
        <family val="2"/>
      </rPr>
      <t xml:space="preserve">DocumentReference </t>
    </r>
    <r>
      <rPr>
        <sz val="10"/>
        <rFont val="Noto Sans CJK SC"/>
        <family val="2"/>
      </rPr>
      <t xml:space="preserve">か </t>
    </r>
    <r>
      <rPr>
        <sz val="10"/>
        <rFont val="Arial"/>
        <family val="2"/>
      </rPr>
      <t>Observation)</t>
    </r>
  </si>
  <si>
    <t>OBSERVATION.imaging_exam @ SECTION.referral_details Details SLOT</t>
  </si>
  <si>
    <r>
      <rPr>
        <b/>
        <sz val="12"/>
        <rFont val="Noto Sans CJK SC"/>
        <family val="2"/>
      </rPr>
      <t>残裁定・確認事項</t>
    </r>
    <r>
      <rPr>
        <b/>
        <sz val="12"/>
        <rFont val="Arial"/>
        <family val="2"/>
      </rPr>
      <t xml:space="preserve">(v1 </t>
    </r>
    <r>
      <rPr>
        <b/>
        <sz val="12"/>
        <rFont val="Noto Sans CJK SC"/>
        <family val="2"/>
      </rPr>
      <t>時点</t>
    </r>
    <r>
      <rPr>
        <b/>
        <sz val="12"/>
        <rFont val="Arial"/>
        <family val="2"/>
      </rPr>
      <t>)</t>
    </r>
  </si>
  <si>
    <t>項目</t>
  </si>
  <si>
    <t>対象</t>
  </si>
  <si>
    <t>内容</t>
  </si>
  <si>
    <t>新設行のチェック</t>
  </si>
  <si>
    <r>
      <rPr>
        <sz val="10"/>
        <rFont val="Arial"/>
        <family val="2"/>
      </rPr>
      <t>18b</t>
    </r>
    <r>
      <rPr>
        <sz val="10"/>
        <rFont val="Noto Sans CJK SC"/>
        <family val="2"/>
      </rPr>
      <t>〜</t>
    </r>
    <r>
      <rPr>
        <sz val="10"/>
        <rFont val="Arial"/>
        <family val="2"/>
      </rPr>
      <t>18e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24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25</t>
    </r>
  </si>
  <si>
    <r>
      <rPr>
        <sz val="10"/>
        <rFont val="Arial"/>
        <family val="2"/>
      </rPr>
      <t xml:space="preserve">J </t>
    </r>
    <r>
      <rPr>
        <sz val="10"/>
        <rFont val="Noto Sans CJK SC"/>
        <family val="2"/>
      </rPr>
      <t>列記入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拡張予約は選定の妥当性のみ</t>
    </r>
    <r>
      <rPr>
        <sz val="10"/>
        <rFont val="Arial"/>
        <family val="2"/>
      </rPr>
      <t>)</t>
    </r>
  </si>
  <si>
    <t>残裁定</t>
  </si>
  <si>
    <r>
      <rPr>
        <sz val="10"/>
        <rFont val="Arial"/>
        <family val="2"/>
      </rPr>
      <t xml:space="preserve">No.19 </t>
    </r>
    <r>
      <rPr>
        <sz val="10"/>
        <rFont val="Noto Sans CJK SC"/>
        <family val="2"/>
      </rPr>
      <t>経過記録</t>
    </r>
  </si>
  <si>
    <r>
      <rPr>
        <sz val="10"/>
        <rFont val="Arial"/>
        <family val="2"/>
      </rPr>
      <t xml:space="preserve">progress_note </t>
    </r>
    <r>
      <rPr>
        <sz val="10"/>
        <rFont val="Noto Sans CJK SC"/>
        <family val="2"/>
      </rPr>
      <t xml:space="preserve">を </t>
    </r>
    <r>
      <rPr>
        <sz val="10"/>
        <rFont val="Arial"/>
        <family val="2"/>
      </rPr>
      <t xml:space="preserve">clinical_synopsis </t>
    </r>
    <r>
      <rPr>
        <sz val="10"/>
        <rFont val="Noto Sans CJK SC"/>
        <family val="2"/>
      </rPr>
      <t>へ統合するか維持するか</t>
    </r>
  </si>
  <si>
    <r>
      <rPr>
        <sz val="10"/>
        <rFont val="Arial"/>
        <family val="2"/>
      </rPr>
      <t xml:space="preserve">No.17 </t>
    </r>
    <r>
      <rPr>
        <sz val="10"/>
        <rFont val="Noto Sans CJK SC"/>
        <family val="2"/>
      </rPr>
      <t>配置</t>
    </r>
  </si>
  <si>
    <r>
      <rPr>
        <sz val="10"/>
        <rFont val="Noto Sans CJK SC"/>
        <family val="2"/>
      </rPr>
      <t>感染症サマリの節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案</t>
    </r>
    <r>
      <rPr>
        <sz val="10"/>
        <rFont val="Arial"/>
        <family val="2"/>
      </rPr>
      <t xml:space="preserve">a </t>
    </r>
    <r>
      <rPr>
        <sz val="10"/>
        <rFont val="Noto Sans CJK SC"/>
        <family val="2"/>
      </rPr>
      <t>既往歴・家族歴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推奨</t>
    </r>
    <r>
      <rPr>
        <sz val="10"/>
        <rFont val="Arial"/>
        <family val="2"/>
      </rPr>
      <t xml:space="preserve">)/ </t>
    </r>
    <r>
      <rPr>
        <sz val="10"/>
        <rFont val="Noto Sans CJK SC"/>
        <family val="2"/>
      </rPr>
      <t>案</t>
    </r>
    <r>
      <rPr>
        <sz val="10"/>
        <rFont val="Arial"/>
        <family val="2"/>
      </rPr>
      <t xml:space="preserve">b </t>
    </r>
    <r>
      <rPr>
        <sz val="10"/>
        <rFont val="Noto Sans CJK SC"/>
        <family val="2"/>
      </rPr>
      <t>傷病名・主訴</t>
    </r>
  </si>
  <si>
    <r>
      <rPr>
        <sz val="10"/>
        <rFont val="Arial"/>
        <family val="2"/>
      </rPr>
      <t xml:space="preserve">AD </t>
    </r>
    <r>
      <rPr>
        <sz val="10"/>
        <rFont val="Noto Sans CJK SC"/>
        <family val="2"/>
      </rPr>
      <t>実測待ち</t>
    </r>
  </si>
  <si>
    <r>
      <rPr>
        <sz val="10"/>
        <rFont val="Arial"/>
        <family val="2"/>
      </rPr>
      <t xml:space="preserve">No.5 </t>
    </r>
    <r>
      <rPr>
        <sz val="10"/>
        <rFont val="Noto Sans CJK SC"/>
        <family val="2"/>
      </rPr>
      <t xml:space="preserve">職業 </t>
    </r>
    <r>
      <rPr>
        <sz val="10"/>
        <rFont val="Arial"/>
        <family val="2"/>
      </rPr>
      <t xml:space="preserve">/ No.1 </t>
    </r>
    <r>
      <rPr>
        <sz val="10"/>
        <rFont val="Noto Sans CJK SC"/>
        <family val="2"/>
      </rPr>
      <t>診療科</t>
    </r>
  </si>
  <si>
    <r>
      <rPr>
        <sz val="10"/>
        <rFont val="Arial"/>
        <family val="2"/>
      </rPr>
      <t xml:space="preserve">individual_personal </t>
    </r>
    <r>
      <rPr>
        <sz val="10"/>
        <rFont val="Noto Sans CJK SC"/>
        <family val="2"/>
      </rPr>
      <t xml:space="preserve">に職業要素があるか </t>
    </r>
    <r>
      <rPr>
        <sz val="10"/>
        <rFont val="Arial"/>
        <family val="2"/>
      </rPr>
      <t xml:space="preserve">/ organisation </t>
    </r>
    <r>
      <rPr>
        <sz val="10"/>
        <rFont val="Noto Sans CJK SC"/>
        <family val="2"/>
      </rPr>
      <t>の部門表現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要素 </t>
    </r>
    <r>
      <rPr>
        <sz val="10"/>
        <rFont val="Arial"/>
        <family val="2"/>
      </rPr>
      <t>or occurrence 2)</t>
    </r>
  </si>
  <si>
    <r>
      <rPr>
        <sz val="10"/>
        <rFont val="Noto Sans CJK SC"/>
        <family val="2"/>
      </rPr>
      <t xml:space="preserve">新規アーキタイプ </t>
    </r>
    <r>
      <rPr>
        <sz val="10"/>
        <rFont val="Arial"/>
        <family val="2"/>
      </rPr>
      <t>ID</t>
    </r>
    <r>
      <rPr>
        <sz val="10"/>
        <rFont val="Noto Sans CJK SC"/>
        <family val="2"/>
      </rPr>
      <t>・版・</t>
    </r>
    <r>
      <rPr>
        <sz val="10"/>
        <rFont val="Arial"/>
        <family val="2"/>
      </rPr>
      <t>ja</t>
    </r>
  </si>
  <si>
    <r>
      <rPr>
        <sz val="10"/>
        <rFont val="Arial"/>
        <family val="2"/>
      </rPr>
      <t xml:space="preserve">13 laboratory_test_result / 15 medication_order / 16 adverse_reaction_risk / 17 infectious_disease_summary / 18 social_summary / 24 exam — </t>
    </r>
    <r>
      <rPr>
        <sz val="10"/>
        <rFont val="Noto Sans CJK SC"/>
        <family val="2"/>
      </rPr>
      <t>版</t>
    </r>
    <r>
      <rPr>
        <sz val="10"/>
        <rFont val="Arial"/>
        <family val="2"/>
      </rPr>
      <t>(v0/v1)</t>
    </r>
    <r>
      <rPr>
        <sz val="10"/>
        <rFont val="Noto Sans CJK SC"/>
        <family val="2"/>
      </rPr>
      <t>・公開状態・</t>
    </r>
    <r>
      <rPr>
        <sz val="10"/>
        <rFont val="Arial"/>
        <family val="2"/>
      </rPr>
      <t xml:space="preserve">ja </t>
    </r>
    <r>
      <rPr>
        <sz val="10"/>
        <rFont val="Noto Sans CJK SC"/>
        <family val="2"/>
      </rPr>
      <t>訳有無</t>
    </r>
  </si>
  <si>
    <r>
      <rPr>
        <sz val="10"/>
        <rFont val="Arial"/>
        <family val="2"/>
      </rPr>
      <t xml:space="preserve">at-code </t>
    </r>
    <r>
      <rPr>
        <sz val="10"/>
        <rFont val="Noto Sans CJK SC"/>
        <family val="2"/>
      </rPr>
      <t>正典値</t>
    </r>
  </si>
  <si>
    <r>
      <rPr>
        <sz val="10"/>
        <rFont val="Arial"/>
        <family val="2"/>
      </rPr>
      <t>receiver/requester SLOT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Details SLOT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at0062/at0064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 xml:space="preserve">Service requested </t>
    </r>
    <r>
      <rPr>
        <sz val="10"/>
        <rFont val="Noto Sans CJK SC"/>
        <family val="2"/>
      </rPr>
      <t>要素・</t>
    </r>
    <r>
      <rPr>
        <sz val="10"/>
        <rFont val="Arial"/>
        <family val="2"/>
      </rPr>
      <t>other_context/patient SLOT</t>
    </r>
  </si>
  <si>
    <r>
      <rPr>
        <sz val="10"/>
        <rFont val="Noto Sans CJK SC"/>
        <family val="2"/>
      </rPr>
      <t>系譜ノート</t>
    </r>
    <r>
      <rPr>
        <sz val="10"/>
        <rFont val="Arial"/>
        <family val="2"/>
      </rPr>
      <t xml:space="preserve">(md </t>
    </r>
    <r>
      <rPr>
        <sz val="10"/>
        <rFont val="Noto Sans CJK SC"/>
        <family val="2"/>
      </rPr>
      <t>収載時</t>
    </r>
    <r>
      <rPr>
        <sz val="10"/>
        <rFont val="Arial"/>
        <family val="2"/>
      </rPr>
      <t>)</t>
    </r>
  </si>
  <si>
    <t>mml_referral → jp_referral</t>
  </si>
  <si>
    <r>
      <rPr>
        <sz val="10"/>
        <rFont val="Noto Sans CJK SC"/>
        <family val="2"/>
      </rPr>
      <t>再配置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紹介目的</t>
    </r>
    <r>
      <rPr>
        <sz val="10"/>
        <rFont val="Arial"/>
        <family val="2"/>
      </rPr>
      <t>(reason_for_encounter→at0062/64)</t>
    </r>
    <r>
      <rPr>
        <sz val="10"/>
        <rFont val="Noto Sans CJK SC"/>
        <family val="2"/>
      </rPr>
      <t>・主訴</t>
    </r>
    <r>
      <rPr>
        <sz val="10"/>
        <rFont val="Arial"/>
        <family val="2"/>
      </rPr>
      <t xml:space="preserve">(→reason_for_encounter)/ </t>
    </r>
    <r>
      <rPr>
        <sz val="10"/>
        <rFont val="Noto Sans CJK SC"/>
        <family val="2"/>
      </rPr>
      <t>継承</t>
    </r>
    <r>
      <rPr>
        <sz val="10"/>
        <rFont val="Arial"/>
        <family val="2"/>
      </rPr>
      <t>: story×2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problem_diagnosis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family_history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clinical_synopsis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medication_order_list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multimedia/citation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 xml:space="preserve">free_text / </t>
    </r>
    <r>
      <rPr>
        <sz val="10"/>
        <rFont val="Noto Sans CJK SC"/>
        <family val="2"/>
      </rPr>
      <t>予約</t>
    </r>
    <r>
      <rPr>
        <sz val="10"/>
        <rFont val="Arial"/>
        <family val="2"/>
      </rPr>
      <t xml:space="preserve">: exposure / </t>
    </r>
    <r>
      <rPr>
        <sz val="10"/>
        <rFont val="Noto Sans CJK SC"/>
        <family val="2"/>
      </rPr>
      <t>削除</t>
    </r>
    <r>
      <rPr>
        <sz val="10"/>
        <rFont val="Arial"/>
        <family val="2"/>
      </rPr>
      <t xml:space="preserve">: race / </t>
    </r>
    <r>
      <rPr>
        <sz val="10"/>
        <rFont val="Noto Sans CJK SC"/>
        <family val="2"/>
      </rPr>
      <t>不採用</t>
    </r>
    <r>
      <rPr>
        <sz val="10"/>
        <rFont val="Arial"/>
        <family val="2"/>
      </rPr>
      <t>: progress_note(</t>
    </r>
    <r>
      <rPr>
        <sz val="10"/>
        <rFont val="Noto Sans CJK SC"/>
        <family val="2"/>
      </rPr>
      <t>裁定次第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</si>
  <si>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確定済み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参考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</si>
  <si>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受入方針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受け皿ハブ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枚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写像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本・骨格契約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横串一貫性</t>
    </r>
    <r>
      <rPr>
        <sz val="10"/>
        <rFont val="Arial"/>
        <family val="2"/>
      </rPr>
      <t>&gt;</t>
    </r>
    <r>
      <rPr>
        <sz val="10"/>
        <rFont val="Noto Sans CJK SC"/>
        <family val="2"/>
      </rPr>
      <t>局所純度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・</t>
    </r>
    <r>
      <rPr>
        <sz val="10"/>
        <rFont val="Arial"/>
        <family val="2"/>
      </rPr>
      <t xml:space="preserve">ENTRY </t>
    </r>
    <r>
      <rPr>
        <sz val="10"/>
        <rFont val="Noto Sans CJK SC"/>
        <family val="2"/>
      </rPr>
      <t>型判定則・帳票は骨格からの射影・</t>
    </r>
    <r>
      <rPr>
        <sz val="10"/>
        <rFont val="Arial"/>
        <family val="2"/>
      </rPr>
      <t xml:space="preserve">JP-CLINS </t>
    </r>
    <r>
      <rPr>
        <sz val="10"/>
        <rFont val="Noto Sans CJK SC"/>
        <family val="2"/>
      </rPr>
      <t xml:space="preserve">写像は </t>
    </r>
    <r>
      <rPr>
        <sz val="10"/>
        <rFont val="Arial"/>
        <family val="2"/>
      </rPr>
      <t xml:space="preserve">IG </t>
    </r>
    <r>
      <rPr>
        <sz val="10"/>
        <rFont val="Noto Sans CJK SC"/>
        <family val="2"/>
      </rPr>
      <t>別表</t>
    </r>
  </si>
  <si>
    <t>OK</t>
    <phoneticPr fontId="12"/>
  </si>
  <si>
    <t>不要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</si>
</sst>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b/>
      <sz val="13"/>
      <name val="Noto Sans CJK SC"/>
      <family val="2"/>
    </font>
    <font>
      <b/>
      <sz val="13"/>
      <name val="Arial"/>
      <family val="2"/>
    </font>
    <font>
      <sz val="10"/>
      <name val="Arial"/>
      <family val="2"/>
    </font>
    <font>
      <b/>
      <sz val="10"/>
      <name val="Noto Sans CJK SC"/>
      <family val="2"/>
    </font>
    <font>
      <b/>
      <sz val="10"/>
      <name val="Arial"/>
      <family val="2"/>
    </font>
    <font>
      <sz val="10"/>
      <name val="Noto Sans CJK SC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b/>
      <sz val="10"/>
      <color rgb="FFC00000"/>
      <name val="Arial"/>
      <family val="2"/>
    </font>
    <font>
      <b/>
      <sz val="12"/>
      <name val="Noto Sans CJK SC"/>
      <family val="2"/>
    </font>
    <font>
      <b/>
      <sz val="12"/>
      <name val="Arial"/>
      <family val="2"/>
    </font>
    <font>
      <sz val="6"/>
      <name val="ＭＳ Ｐゴシック"/>
      <family val="3"/>
      <charset val="128"/>
    </font>
    <font>
      <sz val="10"/>
      <name val="ＭＳ Ｐゴシック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BDD7EE"/>
      </patternFill>
    </fill>
    <fill>
      <patternFill patternType="solid">
        <fgColor rgb="FFA6A6A6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13" fillId="5" borderId="1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zoomScaleNormal="100" workbookViewId="0"/>
  </sheetViews>
  <sheetFormatPr defaultColWidth="8.6640625" defaultRowHeight="14.4"/>
  <cols>
    <col min="1" max="1" width="30" customWidth="1"/>
    <col min="2" max="2" width="110" customWidth="1"/>
  </cols>
  <sheetData>
    <row r="1" spans="1:2" ht="67.2">
      <c r="A1" s="1" t="s">
        <v>0</v>
      </c>
      <c r="B1" s="2"/>
    </row>
    <row r="2" spans="1:2" ht="66">
      <c r="A2" s="3" t="s">
        <v>1</v>
      </c>
      <c r="B2" s="2"/>
    </row>
    <row r="3" spans="1:2">
      <c r="A3" s="3"/>
      <c r="B3" s="2"/>
    </row>
    <row r="4" spans="1:2">
      <c r="A4" s="3" t="s">
        <v>2</v>
      </c>
      <c r="B4" s="2"/>
    </row>
    <row r="5" spans="1:2">
      <c r="A5" s="4" t="s">
        <v>3</v>
      </c>
      <c r="B5" s="5" t="s">
        <v>4</v>
      </c>
    </row>
    <row r="6" spans="1:2">
      <c r="A6" s="4" t="s">
        <v>5</v>
      </c>
      <c r="B6" s="5" t="s">
        <v>6</v>
      </c>
    </row>
    <row r="7" spans="1:2">
      <c r="A7" s="4" t="s">
        <v>7</v>
      </c>
      <c r="B7" s="5" t="s">
        <v>8</v>
      </c>
    </row>
    <row r="8" spans="1:2">
      <c r="A8" s="4" t="s">
        <v>9</v>
      </c>
      <c r="B8" s="5" t="s">
        <v>10</v>
      </c>
    </row>
    <row r="9" spans="1:2" ht="26.4">
      <c r="A9" s="4" t="s">
        <v>11</v>
      </c>
      <c r="B9" s="5" t="s">
        <v>12</v>
      </c>
    </row>
    <row r="10" spans="1:2">
      <c r="A10" s="3"/>
      <c r="B10" s="2"/>
    </row>
    <row r="11" spans="1:2">
      <c r="A11" s="3" t="s">
        <v>13</v>
      </c>
      <c r="B11" s="2"/>
    </row>
    <row r="12" spans="1:2">
      <c r="A12" s="3" t="s">
        <v>14</v>
      </c>
      <c r="B12" s="5" t="s">
        <v>15</v>
      </c>
    </row>
    <row r="13" spans="1:2">
      <c r="A13" s="3" t="s">
        <v>16</v>
      </c>
      <c r="B13" s="2" t="s">
        <v>17</v>
      </c>
    </row>
    <row r="14" spans="1:2">
      <c r="A14" s="3" t="s">
        <v>18</v>
      </c>
      <c r="B14" s="5" t="s">
        <v>19</v>
      </c>
    </row>
    <row r="15" spans="1:2">
      <c r="A15" s="4" t="s">
        <v>20</v>
      </c>
      <c r="B15" s="5" t="s">
        <v>21</v>
      </c>
    </row>
    <row r="16" spans="1:2">
      <c r="A16" s="3" t="s">
        <v>22</v>
      </c>
      <c r="B16" s="5" t="s">
        <v>23</v>
      </c>
    </row>
    <row r="17" spans="1:2">
      <c r="A17" s="3" t="s">
        <v>24</v>
      </c>
      <c r="B17" s="2" t="s">
        <v>25</v>
      </c>
    </row>
    <row r="18" spans="1:2">
      <c r="A18" s="3"/>
      <c r="B18" s="2"/>
    </row>
    <row r="19" spans="1:2">
      <c r="A19" s="3" t="s">
        <v>26</v>
      </c>
      <c r="B19" s="2"/>
    </row>
    <row r="20" spans="1:2">
      <c r="A20" s="4" t="s">
        <v>27</v>
      </c>
      <c r="B20" s="2" t="s">
        <v>28</v>
      </c>
    </row>
    <row r="21" spans="1:2">
      <c r="A21" s="4" t="s">
        <v>29</v>
      </c>
      <c r="B21" s="5" t="s">
        <v>30</v>
      </c>
    </row>
    <row r="22" spans="1:2">
      <c r="A22" s="3"/>
      <c r="B22" s="2"/>
    </row>
    <row r="23" spans="1:2" ht="26.4">
      <c r="A23" s="3" t="s">
        <v>31</v>
      </c>
      <c r="B23" s="2"/>
    </row>
    <row r="24" spans="1:2" ht="26.4">
      <c r="A24" s="4" t="s">
        <v>32</v>
      </c>
      <c r="B24" s="2" t="s">
        <v>33</v>
      </c>
    </row>
    <row r="25" spans="1:2">
      <c r="A25" s="3"/>
      <c r="B25" s="2" t="s">
        <v>34</v>
      </c>
    </row>
    <row r="26" spans="1:2" ht="26.4">
      <c r="A26" s="3"/>
      <c r="B26" s="2" t="s">
        <v>35</v>
      </c>
    </row>
    <row r="27" spans="1:2">
      <c r="A27" s="3"/>
      <c r="B27" s="2" t="s">
        <v>36</v>
      </c>
    </row>
    <row r="28" spans="1:2">
      <c r="A28" s="3"/>
      <c r="B28" s="2" t="s">
        <v>37</v>
      </c>
    </row>
    <row r="29" spans="1:2">
      <c r="A29" s="3"/>
      <c r="B29" s="2"/>
    </row>
    <row r="30" spans="1:2">
      <c r="A30" s="3" t="s">
        <v>38</v>
      </c>
      <c r="B30" s="2"/>
    </row>
    <row r="31" spans="1:2">
      <c r="A31" s="4" t="s">
        <v>39</v>
      </c>
      <c r="B31" s="2">
        <f>COUNTIF(三面表!J2:J30,"OK")</f>
        <v>17</v>
      </c>
    </row>
    <row r="32" spans="1:2">
      <c r="A32" s="3" t="s">
        <v>40</v>
      </c>
      <c r="B32" s="2">
        <f>COUNTIF(三面表!J2:J30,"修正")</f>
        <v>9</v>
      </c>
    </row>
    <row r="33" spans="1:2">
      <c r="A33" s="3" t="s">
        <v>41</v>
      </c>
      <c r="B33" s="2">
        <f>COUNTIF(三面表!J2:J30,"要議論")</f>
        <v>0</v>
      </c>
    </row>
    <row r="34" spans="1:2">
      <c r="A34" s="3" t="s">
        <v>42</v>
      </c>
      <c r="B34" s="2">
        <f>COUNTIF(三面表!J2:J30,"不要")</f>
        <v>3</v>
      </c>
    </row>
    <row r="35" spans="1:2">
      <c r="A35" s="3" t="s">
        <v>43</v>
      </c>
      <c r="B35" s="2">
        <f>29-COUNTIF(三面表!J2:J30,"OK")-COUNTIF(三面表!J2:J30,"修正")-COUNTIF(三面表!J2:J30,"要議論")-COUNTIF(三面表!J2:J30,"不要")</f>
        <v>0</v>
      </c>
    </row>
    <row r="36" spans="1:2">
      <c r="A36" s="3"/>
      <c r="B36" s="2"/>
    </row>
    <row r="37" spans="1:2">
      <c r="A37" s="3" t="s">
        <v>44</v>
      </c>
      <c r="B37" s="5" t="s">
        <v>45</v>
      </c>
    </row>
  </sheetData>
  <phoneticPr fontId="12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31" sqref="J31"/>
    </sheetView>
  </sheetViews>
  <sheetFormatPr defaultColWidth="8.6640625" defaultRowHeight="14.4"/>
  <cols>
    <col min="1" max="1" width="5" customWidth="1"/>
    <col min="2" max="2" width="7" customWidth="1"/>
    <col min="3" max="3" width="22" customWidth="1"/>
    <col min="4" max="4" width="18" customWidth="1"/>
    <col min="5" max="5" width="14" customWidth="1"/>
    <col min="6" max="6" width="28" customWidth="1"/>
    <col min="7" max="7" width="30" customWidth="1"/>
    <col min="8" max="8" width="36" customWidth="1"/>
    <col min="9" max="10" width="10" customWidth="1"/>
    <col min="11" max="11" width="44" customWidth="1"/>
  </cols>
  <sheetData>
    <row r="1" spans="1:11" ht="26.4">
      <c r="A1" s="6" t="s">
        <v>46</v>
      </c>
      <c r="B1" s="7" t="s">
        <v>47</v>
      </c>
      <c r="C1" s="7" t="s">
        <v>48</v>
      </c>
      <c r="D1" s="7" t="s">
        <v>49</v>
      </c>
      <c r="E1" s="6" t="s">
        <v>50</v>
      </c>
      <c r="F1" s="6" t="s">
        <v>51</v>
      </c>
      <c r="G1" s="6" t="s">
        <v>52</v>
      </c>
      <c r="H1" s="7" t="s">
        <v>53</v>
      </c>
      <c r="I1" s="7" t="s">
        <v>54</v>
      </c>
      <c r="J1" s="7" t="s">
        <v>55</v>
      </c>
      <c r="K1" s="7" t="s">
        <v>56</v>
      </c>
    </row>
    <row r="2" spans="1:11" ht="92.4">
      <c r="A2" s="8" t="s">
        <v>57</v>
      </c>
      <c r="B2" s="9" t="s">
        <v>58</v>
      </c>
      <c r="C2" s="10" t="s">
        <v>59</v>
      </c>
      <c r="D2" s="10" t="s">
        <v>60</v>
      </c>
      <c r="E2" s="10" t="s">
        <v>61</v>
      </c>
      <c r="F2" s="8" t="s">
        <v>62</v>
      </c>
      <c r="G2" s="8" t="s">
        <v>63</v>
      </c>
      <c r="H2" s="8" t="s">
        <v>64</v>
      </c>
      <c r="I2" s="11" t="s">
        <v>14</v>
      </c>
      <c r="J2" s="12" t="s">
        <v>40</v>
      </c>
      <c r="K2" s="10" t="s">
        <v>65</v>
      </c>
    </row>
    <row r="3" spans="1:11" ht="79.2">
      <c r="A3" s="8" t="s">
        <v>66</v>
      </c>
      <c r="B3" s="9" t="s">
        <v>58</v>
      </c>
      <c r="C3" s="10" t="s">
        <v>67</v>
      </c>
      <c r="D3" s="10" t="s">
        <v>68</v>
      </c>
      <c r="E3" s="10" t="s">
        <v>69</v>
      </c>
      <c r="F3" s="8" t="s">
        <v>70</v>
      </c>
      <c r="G3" s="8" t="s">
        <v>71</v>
      </c>
      <c r="H3" s="8" t="s">
        <v>72</v>
      </c>
      <c r="I3" s="11" t="s">
        <v>14</v>
      </c>
      <c r="J3" s="12" t="s">
        <v>40</v>
      </c>
      <c r="K3" s="10" t="s">
        <v>73</v>
      </c>
    </row>
    <row r="4" spans="1:11" ht="52.8">
      <c r="A4" s="8" t="s">
        <v>74</v>
      </c>
      <c r="B4" s="9" t="s">
        <v>58</v>
      </c>
      <c r="C4" s="10" t="s">
        <v>75</v>
      </c>
      <c r="D4" s="10" t="s">
        <v>76</v>
      </c>
      <c r="E4" s="10" t="s">
        <v>77</v>
      </c>
      <c r="F4" s="8" t="s">
        <v>78</v>
      </c>
      <c r="G4" s="8" t="s">
        <v>79</v>
      </c>
      <c r="H4" s="8" t="s">
        <v>80</v>
      </c>
      <c r="I4" s="11" t="s">
        <v>14</v>
      </c>
      <c r="J4" s="12" t="s">
        <v>40</v>
      </c>
      <c r="K4" s="10" t="s">
        <v>81</v>
      </c>
    </row>
    <row r="5" spans="1:11" ht="39.6">
      <c r="A5" s="8" t="s">
        <v>82</v>
      </c>
      <c r="B5" s="9" t="s">
        <v>58</v>
      </c>
      <c r="C5" s="10" t="s">
        <v>83</v>
      </c>
      <c r="D5" s="10" t="s">
        <v>84</v>
      </c>
      <c r="E5" s="10" t="s">
        <v>83</v>
      </c>
      <c r="F5" s="8" t="s">
        <v>85</v>
      </c>
      <c r="G5" s="8" t="s">
        <v>86</v>
      </c>
      <c r="H5" s="8" t="s">
        <v>87</v>
      </c>
      <c r="I5" s="11" t="s">
        <v>14</v>
      </c>
      <c r="J5" s="12" t="s">
        <v>40</v>
      </c>
      <c r="K5" s="10" t="s">
        <v>88</v>
      </c>
    </row>
    <row r="6" spans="1:11" ht="52.8">
      <c r="A6" s="8" t="s">
        <v>89</v>
      </c>
      <c r="B6" s="9" t="s">
        <v>58</v>
      </c>
      <c r="C6" s="10" t="s">
        <v>90</v>
      </c>
      <c r="D6" s="10" t="s">
        <v>91</v>
      </c>
      <c r="E6" s="10" t="s">
        <v>92</v>
      </c>
      <c r="F6" s="8" t="s">
        <v>93</v>
      </c>
      <c r="G6" s="8" t="s">
        <v>94</v>
      </c>
      <c r="H6" s="8" t="s">
        <v>95</v>
      </c>
      <c r="I6" s="11" t="s">
        <v>14</v>
      </c>
      <c r="J6" s="12" t="s">
        <v>40</v>
      </c>
      <c r="K6" s="10" t="s">
        <v>96</v>
      </c>
    </row>
    <row r="7" spans="1:11">
      <c r="A7" s="8" t="s">
        <v>97</v>
      </c>
      <c r="B7" s="9" t="s">
        <v>58</v>
      </c>
      <c r="C7" s="10" t="s">
        <v>98</v>
      </c>
      <c r="D7" s="10" t="s">
        <v>99</v>
      </c>
      <c r="E7" s="10" t="s">
        <v>100</v>
      </c>
      <c r="F7" s="8" t="s">
        <v>101</v>
      </c>
      <c r="G7" s="8" t="s">
        <v>102</v>
      </c>
      <c r="H7" s="8" t="s">
        <v>103</v>
      </c>
      <c r="I7" s="11" t="s">
        <v>14</v>
      </c>
      <c r="J7" s="13" t="s">
        <v>39</v>
      </c>
      <c r="K7" s="8" t="s">
        <v>104</v>
      </c>
    </row>
    <row r="8" spans="1:11" ht="26.4">
      <c r="A8" s="8" t="s">
        <v>105</v>
      </c>
      <c r="B8" s="9" t="s">
        <v>106</v>
      </c>
      <c r="C8" s="10" t="s">
        <v>107</v>
      </c>
      <c r="D8" s="10" t="s">
        <v>107</v>
      </c>
      <c r="E8" s="10" t="s">
        <v>108</v>
      </c>
      <c r="F8" s="8" t="s">
        <v>109</v>
      </c>
      <c r="G8" s="8" t="s">
        <v>110</v>
      </c>
      <c r="H8" s="8" t="s">
        <v>111</v>
      </c>
      <c r="I8" s="11" t="s">
        <v>14</v>
      </c>
      <c r="J8" s="13" t="s">
        <v>39</v>
      </c>
      <c r="K8" s="8" t="s">
        <v>112</v>
      </c>
    </row>
    <row r="9" spans="1:11" ht="105.6">
      <c r="A9" s="8" t="s">
        <v>113</v>
      </c>
      <c r="B9" s="9" t="s">
        <v>106</v>
      </c>
      <c r="C9" s="10" t="s">
        <v>114</v>
      </c>
      <c r="D9" s="10" t="s">
        <v>114</v>
      </c>
      <c r="E9" s="10" t="s">
        <v>114</v>
      </c>
      <c r="F9" s="8" t="s">
        <v>115</v>
      </c>
      <c r="G9" s="8" t="s">
        <v>116</v>
      </c>
      <c r="H9" s="8" t="s">
        <v>117</v>
      </c>
      <c r="I9" s="11" t="s">
        <v>14</v>
      </c>
      <c r="J9" s="12" t="s">
        <v>40</v>
      </c>
      <c r="K9" s="10" t="s">
        <v>118</v>
      </c>
    </row>
    <row r="10" spans="1:11" ht="66">
      <c r="A10" s="8" t="s">
        <v>119</v>
      </c>
      <c r="B10" s="9" t="s">
        <v>106</v>
      </c>
      <c r="C10" s="10" t="s">
        <v>120</v>
      </c>
      <c r="D10" s="8" t="s">
        <v>121</v>
      </c>
      <c r="E10" s="10" t="s">
        <v>122</v>
      </c>
      <c r="F10" s="10" t="s">
        <v>123</v>
      </c>
      <c r="G10" s="8" t="s">
        <v>124</v>
      </c>
      <c r="H10" s="8" t="s">
        <v>125</v>
      </c>
      <c r="I10" s="11" t="s">
        <v>14</v>
      </c>
      <c r="J10" s="12" t="s">
        <v>40</v>
      </c>
      <c r="K10" s="10" t="s">
        <v>126</v>
      </c>
    </row>
    <row r="11" spans="1:11" ht="145.19999999999999">
      <c r="A11" s="8" t="s">
        <v>127</v>
      </c>
      <c r="B11" s="9" t="s">
        <v>106</v>
      </c>
      <c r="C11" s="10" t="s">
        <v>128</v>
      </c>
      <c r="D11" s="10" t="s">
        <v>129</v>
      </c>
      <c r="E11" s="10" t="s">
        <v>128</v>
      </c>
      <c r="F11" s="8" t="s">
        <v>130</v>
      </c>
      <c r="G11" s="8" t="s">
        <v>131</v>
      </c>
      <c r="H11" s="8" t="s">
        <v>132</v>
      </c>
      <c r="I11" s="11" t="s">
        <v>14</v>
      </c>
      <c r="J11" s="13" t="s">
        <v>39</v>
      </c>
      <c r="K11" s="8" t="s">
        <v>133</v>
      </c>
    </row>
    <row r="12" spans="1:11" ht="26.4">
      <c r="A12" s="8" t="s">
        <v>134</v>
      </c>
      <c r="B12" s="9" t="s">
        <v>106</v>
      </c>
      <c r="C12" s="10" t="s">
        <v>135</v>
      </c>
      <c r="D12" s="10" t="s">
        <v>136</v>
      </c>
      <c r="E12" s="10" t="s">
        <v>135</v>
      </c>
      <c r="F12" s="8" t="s">
        <v>137</v>
      </c>
      <c r="G12" s="8" t="s">
        <v>138</v>
      </c>
      <c r="H12" s="8" t="s">
        <v>139</v>
      </c>
      <c r="I12" s="11" t="s">
        <v>14</v>
      </c>
      <c r="J12" s="13" t="s">
        <v>39</v>
      </c>
      <c r="K12" s="10" t="s">
        <v>140</v>
      </c>
    </row>
    <row r="13" spans="1:11" ht="26.4">
      <c r="A13" s="8" t="s">
        <v>141</v>
      </c>
      <c r="B13" s="9" t="s">
        <v>106</v>
      </c>
      <c r="C13" s="10" t="s">
        <v>142</v>
      </c>
      <c r="D13" s="10" t="s">
        <v>143</v>
      </c>
      <c r="E13" s="10" t="s">
        <v>144</v>
      </c>
      <c r="F13" s="8" t="s">
        <v>130</v>
      </c>
      <c r="G13" s="8" t="s">
        <v>145</v>
      </c>
      <c r="H13" s="8" t="s">
        <v>146</v>
      </c>
      <c r="I13" s="11" t="s">
        <v>14</v>
      </c>
      <c r="J13" s="13" t="s">
        <v>39</v>
      </c>
      <c r="K13" s="8" t="s">
        <v>147</v>
      </c>
    </row>
    <row r="14" spans="1:11" ht="39.6">
      <c r="A14" s="8" t="s">
        <v>148</v>
      </c>
      <c r="B14" s="9" t="s">
        <v>106</v>
      </c>
      <c r="C14" s="10" t="s">
        <v>149</v>
      </c>
      <c r="D14" s="10" t="s">
        <v>136</v>
      </c>
      <c r="E14" s="10" t="s">
        <v>149</v>
      </c>
      <c r="F14" s="10" t="s">
        <v>150</v>
      </c>
      <c r="G14" s="8" t="s">
        <v>151</v>
      </c>
      <c r="H14" s="8" t="s">
        <v>152</v>
      </c>
      <c r="I14" s="14" t="s">
        <v>16</v>
      </c>
      <c r="J14" s="13" t="s">
        <v>39</v>
      </c>
      <c r="K14" s="8" t="s">
        <v>153</v>
      </c>
    </row>
    <row r="15" spans="1:11" ht="26.4">
      <c r="A15" s="8" t="s">
        <v>154</v>
      </c>
      <c r="B15" s="9" t="s">
        <v>106</v>
      </c>
      <c r="C15" s="10" t="s">
        <v>155</v>
      </c>
      <c r="D15" s="10" t="s">
        <v>155</v>
      </c>
      <c r="E15" s="10" t="s">
        <v>155</v>
      </c>
      <c r="F15" s="8" t="s">
        <v>156</v>
      </c>
      <c r="G15" s="8" t="s">
        <v>157</v>
      </c>
      <c r="H15" s="8" t="s">
        <v>158</v>
      </c>
      <c r="I15" s="11" t="s">
        <v>14</v>
      </c>
      <c r="J15" s="13" t="s">
        <v>39</v>
      </c>
      <c r="K15" s="10" t="s">
        <v>159</v>
      </c>
    </row>
    <row r="16" spans="1:11" ht="39.6">
      <c r="A16" s="8" t="s">
        <v>160</v>
      </c>
      <c r="B16" s="9" t="s">
        <v>106</v>
      </c>
      <c r="C16" s="10" t="s">
        <v>161</v>
      </c>
      <c r="D16" s="10" t="s">
        <v>161</v>
      </c>
      <c r="E16" s="10" t="s">
        <v>162</v>
      </c>
      <c r="F16" s="8" t="s">
        <v>163</v>
      </c>
      <c r="G16" s="8" t="s">
        <v>164</v>
      </c>
      <c r="H16" s="8" t="s">
        <v>165</v>
      </c>
      <c r="I16" s="14" t="s">
        <v>16</v>
      </c>
      <c r="J16" s="13" t="s">
        <v>39</v>
      </c>
      <c r="K16" s="8" t="s">
        <v>166</v>
      </c>
    </row>
    <row r="17" spans="1:11" ht="26.4">
      <c r="A17" s="8" t="s">
        <v>167</v>
      </c>
      <c r="B17" s="9" t="s">
        <v>106</v>
      </c>
      <c r="C17" s="10" t="s">
        <v>168</v>
      </c>
      <c r="D17" s="10" t="s">
        <v>169</v>
      </c>
      <c r="E17" s="8" t="s">
        <v>170</v>
      </c>
      <c r="F17" s="10" t="s">
        <v>171</v>
      </c>
      <c r="G17" s="8" t="s">
        <v>172</v>
      </c>
      <c r="H17" s="8" t="s">
        <v>173</v>
      </c>
      <c r="I17" s="14" t="s">
        <v>16</v>
      </c>
      <c r="J17" s="13" t="s">
        <v>39</v>
      </c>
      <c r="K17" s="8" t="s">
        <v>174</v>
      </c>
    </row>
    <row r="18" spans="1:11" ht="66">
      <c r="A18" s="8" t="s">
        <v>175</v>
      </c>
      <c r="B18" s="9" t="s">
        <v>106</v>
      </c>
      <c r="C18" s="10" t="s">
        <v>176</v>
      </c>
      <c r="D18" s="10" t="s">
        <v>171</v>
      </c>
      <c r="E18" s="10" t="s">
        <v>177</v>
      </c>
      <c r="F18" s="10" t="s">
        <v>171</v>
      </c>
      <c r="G18" s="8" t="s">
        <v>178</v>
      </c>
      <c r="H18" s="8" t="s">
        <v>179</v>
      </c>
      <c r="I18" s="14" t="s">
        <v>16</v>
      </c>
      <c r="J18" s="12" t="s">
        <v>40</v>
      </c>
      <c r="K18" s="10" t="s">
        <v>180</v>
      </c>
    </row>
    <row r="19" spans="1:11" ht="66">
      <c r="A19" s="8" t="s">
        <v>181</v>
      </c>
      <c r="B19" s="9" t="s">
        <v>106</v>
      </c>
      <c r="C19" s="10" t="s">
        <v>182</v>
      </c>
      <c r="D19" s="10" t="s">
        <v>171</v>
      </c>
      <c r="E19" s="8" t="s">
        <v>183</v>
      </c>
      <c r="F19" s="10" t="s">
        <v>171</v>
      </c>
      <c r="G19" s="8" t="s">
        <v>184</v>
      </c>
      <c r="H19" s="8" t="s">
        <v>185</v>
      </c>
      <c r="I19" s="14" t="s">
        <v>16</v>
      </c>
      <c r="J19" s="12" t="s">
        <v>40</v>
      </c>
      <c r="K19" s="8" t="s">
        <v>186</v>
      </c>
    </row>
    <row r="20" spans="1:11" ht="26.4">
      <c r="A20" s="15" t="s">
        <v>187</v>
      </c>
      <c r="B20" s="9" t="s">
        <v>106</v>
      </c>
      <c r="C20" s="10" t="s">
        <v>188</v>
      </c>
      <c r="D20" s="10" t="s">
        <v>171</v>
      </c>
      <c r="E20" s="8" t="s">
        <v>189</v>
      </c>
      <c r="F20" s="10" t="s">
        <v>171</v>
      </c>
      <c r="G20" s="8" t="s">
        <v>190</v>
      </c>
      <c r="H20" s="8" t="s">
        <v>191</v>
      </c>
      <c r="I20" s="16" t="s">
        <v>18</v>
      </c>
      <c r="J20" s="13" t="s">
        <v>276</v>
      </c>
      <c r="K20" s="10" t="s">
        <v>192</v>
      </c>
    </row>
    <row r="21" spans="1:11" ht="26.4">
      <c r="A21" s="15" t="s">
        <v>193</v>
      </c>
      <c r="B21" s="9" t="s">
        <v>106</v>
      </c>
      <c r="C21" s="10" t="s">
        <v>194</v>
      </c>
      <c r="D21" s="10" t="s">
        <v>171</v>
      </c>
      <c r="E21" s="8" t="s">
        <v>189</v>
      </c>
      <c r="F21" s="10" t="s">
        <v>171</v>
      </c>
      <c r="G21" s="8" t="s">
        <v>190</v>
      </c>
      <c r="H21" s="8" t="s">
        <v>195</v>
      </c>
      <c r="I21" s="16" t="s">
        <v>18</v>
      </c>
      <c r="J21" s="13" t="s">
        <v>276</v>
      </c>
      <c r="K21" s="10" t="s">
        <v>196</v>
      </c>
    </row>
    <row r="22" spans="1:11" ht="26.4">
      <c r="A22" s="15" t="s">
        <v>197</v>
      </c>
      <c r="B22" s="9" t="s">
        <v>106</v>
      </c>
      <c r="C22" s="10" t="s">
        <v>198</v>
      </c>
      <c r="D22" s="10" t="s">
        <v>171</v>
      </c>
      <c r="E22" s="8" t="s">
        <v>189</v>
      </c>
      <c r="F22" s="10" t="s">
        <v>171</v>
      </c>
      <c r="G22" s="8" t="s">
        <v>190</v>
      </c>
      <c r="H22" s="8" t="s">
        <v>199</v>
      </c>
      <c r="I22" s="16" t="s">
        <v>18</v>
      </c>
      <c r="J22" s="13" t="s">
        <v>276</v>
      </c>
      <c r="K22" s="10" t="s">
        <v>200</v>
      </c>
    </row>
    <row r="23" spans="1:11" ht="39.6">
      <c r="A23" s="15" t="s">
        <v>201</v>
      </c>
      <c r="B23" s="9" t="s">
        <v>106</v>
      </c>
      <c r="C23" s="10" t="s">
        <v>202</v>
      </c>
      <c r="D23" s="10" t="s">
        <v>171</v>
      </c>
      <c r="E23" s="8" t="s">
        <v>183</v>
      </c>
      <c r="F23" s="8" t="s">
        <v>203</v>
      </c>
      <c r="G23" s="8" t="s">
        <v>190</v>
      </c>
      <c r="H23" s="8" t="s">
        <v>204</v>
      </c>
      <c r="I23" s="16" t="s">
        <v>18</v>
      </c>
      <c r="J23" s="13" t="s">
        <v>276</v>
      </c>
      <c r="K23" s="10" t="s">
        <v>205</v>
      </c>
    </row>
    <row r="24" spans="1:11" ht="26.4">
      <c r="A24" s="8" t="s">
        <v>206</v>
      </c>
      <c r="B24" s="9" t="s">
        <v>106</v>
      </c>
      <c r="C24" s="10" t="s">
        <v>207</v>
      </c>
      <c r="D24" s="10" t="s">
        <v>208</v>
      </c>
      <c r="E24" s="10" t="s">
        <v>209</v>
      </c>
      <c r="F24" s="8" t="s">
        <v>210</v>
      </c>
      <c r="G24" s="8" t="s">
        <v>211</v>
      </c>
      <c r="H24" s="8" t="s">
        <v>212</v>
      </c>
      <c r="I24" s="17" t="s">
        <v>213</v>
      </c>
      <c r="J24" s="13" t="s">
        <v>39</v>
      </c>
      <c r="K24" s="8" t="s">
        <v>214</v>
      </c>
    </row>
    <row r="25" spans="1:11" ht="52.8">
      <c r="A25" s="8" t="s">
        <v>215</v>
      </c>
      <c r="B25" s="9" t="s">
        <v>216</v>
      </c>
      <c r="C25" s="10" t="s">
        <v>217</v>
      </c>
      <c r="D25" s="10" t="s">
        <v>218</v>
      </c>
      <c r="E25" s="10" t="s">
        <v>219</v>
      </c>
      <c r="F25" s="8" t="s">
        <v>220</v>
      </c>
      <c r="G25" s="8" t="s">
        <v>221</v>
      </c>
      <c r="H25" s="8" t="s">
        <v>222</v>
      </c>
      <c r="I25" s="11" t="s">
        <v>14</v>
      </c>
      <c r="J25" s="13" t="s">
        <v>39</v>
      </c>
      <c r="K25" s="8" t="s">
        <v>223</v>
      </c>
    </row>
    <row r="26" spans="1:11" ht="52.8">
      <c r="A26" s="8" t="s">
        <v>224</v>
      </c>
      <c r="B26" s="9" t="s">
        <v>225</v>
      </c>
      <c r="C26" s="10" t="s">
        <v>226</v>
      </c>
      <c r="D26" s="8" t="s">
        <v>227</v>
      </c>
      <c r="E26" s="10" t="s">
        <v>228</v>
      </c>
      <c r="F26" s="8" t="s">
        <v>229</v>
      </c>
      <c r="G26" s="8" t="s">
        <v>230</v>
      </c>
      <c r="H26" s="8" t="s">
        <v>231</v>
      </c>
      <c r="I26" s="11" t="s">
        <v>14</v>
      </c>
      <c r="J26" s="13" t="s">
        <v>39</v>
      </c>
      <c r="K26" s="8"/>
    </row>
    <row r="27" spans="1:11" ht="26.4">
      <c r="A27" s="8" t="s">
        <v>232</v>
      </c>
      <c r="B27" s="9" t="s">
        <v>225</v>
      </c>
      <c r="C27" s="10" t="s">
        <v>233</v>
      </c>
      <c r="D27" s="10" t="s">
        <v>233</v>
      </c>
      <c r="E27" s="10" t="s">
        <v>233</v>
      </c>
      <c r="F27" s="8" t="s">
        <v>234</v>
      </c>
      <c r="G27" s="10" t="s">
        <v>235</v>
      </c>
      <c r="H27" s="8" t="s">
        <v>236</v>
      </c>
      <c r="I27" s="11" t="s">
        <v>14</v>
      </c>
      <c r="J27" s="13" t="s">
        <v>39</v>
      </c>
      <c r="K27" s="10" t="s">
        <v>237</v>
      </c>
    </row>
    <row r="28" spans="1:11">
      <c r="A28" s="8" t="s">
        <v>238</v>
      </c>
      <c r="B28" s="9" t="s">
        <v>225</v>
      </c>
      <c r="C28" s="10" t="s">
        <v>239</v>
      </c>
      <c r="D28" s="10" t="s">
        <v>171</v>
      </c>
      <c r="E28" s="8" t="s">
        <v>183</v>
      </c>
      <c r="F28" s="8" t="s">
        <v>240</v>
      </c>
      <c r="G28" s="10" t="s">
        <v>171</v>
      </c>
      <c r="H28" s="10" t="s">
        <v>241</v>
      </c>
      <c r="I28" s="18" t="s">
        <v>24</v>
      </c>
      <c r="J28" s="12" t="s">
        <v>42</v>
      </c>
      <c r="K28" s="10" t="s">
        <v>242</v>
      </c>
    </row>
    <row r="29" spans="1:11" ht="39.6">
      <c r="A29" s="15" t="s">
        <v>243</v>
      </c>
      <c r="B29" s="9" t="s">
        <v>106</v>
      </c>
      <c r="C29" s="10" t="s">
        <v>244</v>
      </c>
      <c r="D29" s="8" t="s">
        <v>121</v>
      </c>
      <c r="E29" s="8" t="s">
        <v>183</v>
      </c>
      <c r="F29" s="10" t="s">
        <v>171</v>
      </c>
      <c r="G29" s="8" t="s">
        <v>245</v>
      </c>
      <c r="H29" s="8" t="s">
        <v>246</v>
      </c>
      <c r="I29" s="14" t="s">
        <v>16</v>
      </c>
      <c r="J29" s="21" t="s">
        <v>277</v>
      </c>
      <c r="K29" s="10" t="s">
        <v>247</v>
      </c>
    </row>
    <row r="30" spans="1:11" ht="26.4">
      <c r="A30" s="15" t="s">
        <v>248</v>
      </c>
      <c r="B30" s="9" t="s">
        <v>106</v>
      </c>
      <c r="C30" s="10" t="s">
        <v>249</v>
      </c>
      <c r="D30" s="8" t="s">
        <v>121</v>
      </c>
      <c r="E30" s="8" t="s">
        <v>183</v>
      </c>
      <c r="F30" s="10" t="s">
        <v>171</v>
      </c>
      <c r="G30" s="8" t="s">
        <v>250</v>
      </c>
      <c r="H30" s="8" t="s">
        <v>251</v>
      </c>
      <c r="I30" s="16" t="s">
        <v>18</v>
      </c>
      <c r="J30" s="21" t="s">
        <v>277</v>
      </c>
      <c r="K30" s="10" t="s">
        <v>196</v>
      </c>
    </row>
  </sheetData>
  <phoneticPr fontId="12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Normal="100" workbookViewId="0"/>
  </sheetViews>
  <sheetFormatPr defaultColWidth="8.6640625" defaultRowHeight="14.4"/>
  <cols>
    <col min="1" max="1" width="24" customWidth="1"/>
    <col min="2" max="2" width="30" customWidth="1"/>
    <col min="3" max="3" width="90" customWidth="1"/>
  </cols>
  <sheetData>
    <row r="1" spans="1:3" ht="31.2">
      <c r="A1" s="19" t="s">
        <v>252</v>
      </c>
      <c r="B1" s="2"/>
      <c r="C1" s="2"/>
    </row>
    <row r="2" spans="1:3">
      <c r="A2" s="2"/>
      <c r="B2" s="2"/>
      <c r="C2" s="2"/>
    </row>
    <row r="3" spans="1:3">
      <c r="A3" s="20" t="s">
        <v>253</v>
      </c>
      <c r="B3" s="20" t="s">
        <v>254</v>
      </c>
      <c r="C3" s="20" t="s">
        <v>255</v>
      </c>
    </row>
    <row r="4" spans="1:3">
      <c r="A4" s="5" t="s">
        <v>256</v>
      </c>
      <c r="B4" s="2" t="s">
        <v>257</v>
      </c>
      <c r="C4" s="2" t="s">
        <v>258</v>
      </c>
    </row>
    <row r="5" spans="1:3">
      <c r="A5" s="5" t="s">
        <v>259</v>
      </c>
      <c r="B5" s="2" t="s">
        <v>260</v>
      </c>
      <c r="C5" s="2" t="s">
        <v>261</v>
      </c>
    </row>
    <row r="6" spans="1:3">
      <c r="A6" s="5" t="s">
        <v>259</v>
      </c>
      <c r="B6" s="2" t="s">
        <v>262</v>
      </c>
      <c r="C6" s="5" t="s">
        <v>263</v>
      </c>
    </row>
    <row r="7" spans="1:3">
      <c r="A7" s="2" t="s">
        <v>264</v>
      </c>
      <c r="B7" s="2" t="s">
        <v>265</v>
      </c>
      <c r="C7" s="2" t="s">
        <v>266</v>
      </c>
    </row>
    <row r="8" spans="1:3" ht="26.4">
      <c r="A8" s="2" t="s">
        <v>264</v>
      </c>
      <c r="B8" s="5" t="s">
        <v>267</v>
      </c>
      <c r="C8" s="2" t="s">
        <v>268</v>
      </c>
    </row>
    <row r="9" spans="1:3" ht="26.4">
      <c r="A9" s="2" t="s">
        <v>264</v>
      </c>
      <c r="B9" s="2" t="s">
        <v>269</v>
      </c>
      <c r="C9" s="2" t="s">
        <v>270</v>
      </c>
    </row>
    <row r="10" spans="1:3" ht="39.6">
      <c r="A10" s="5" t="s">
        <v>271</v>
      </c>
      <c r="B10" s="2" t="s">
        <v>272</v>
      </c>
      <c r="C10" s="5" t="s">
        <v>273</v>
      </c>
    </row>
    <row r="11" spans="1:3" ht="26.4">
      <c r="A11" s="5" t="s">
        <v>274</v>
      </c>
      <c r="B11" s="2"/>
      <c r="C11" s="5" t="s">
        <v>275</v>
      </c>
    </row>
  </sheetData>
  <phoneticPr fontId="12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概要</vt:lpstr>
      <vt:lpstr>三面表</vt:lpstr>
      <vt:lpstr>Step2プレビュー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慎治 小林</cp:lastModifiedBy>
  <cp:revision>0</cp:revision>
  <dcterms:created xsi:type="dcterms:W3CDTF">2026-09-04T10:47:03Z</dcterms:created>
  <dcterms:modified xsi:type="dcterms:W3CDTF">2026-09-04T13:07:47Z</dcterms:modified>
  <dc:language>en-US</dc:language>
</cp:coreProperties>
</file>